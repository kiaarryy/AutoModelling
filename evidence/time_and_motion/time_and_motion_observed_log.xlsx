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debook" sheetId="2" state="visible" r:id="rId2"/>
    <sheet xmlns:r="http://schemas.openxmlformats.org/officeDocument/2006/relationships" name="Sample" sheetId="3" state="visible" r:id="rId3"/>
    <sheet xmlns:r="http://schemas.openxmlformats.org/officeDocument/2006/relationships" name="Log" sheetId="4" state="visible" r:id="rId4"/>
    <sheet xmlns:r="http://schemas.openxmlformats.org/officeDocument/2006/relationships" name="Deliverables" sheetId="5" state="visible" r:id="rId5"/>
    <sheet xmlns:r="http://schemas.openxmlformats.org/officeDocument/2006/relationships" name="Summary" sheetId="6" state="visible" r:id="rId6"/>
  </sheets>
  <definedNames>
    <definedName name="_xlnm._FilterDatabase" localSheetId="3" hidden="1">'Log'!$A$4:$U$260</definedName>
  </definedNames>
  <calcPr calcId="124519" fullCalcOnLoad="1"/>
</workbook>
</file>

<file path=xl/styles.xml><?xml version="1.0" encoding="utf-8"?>
<styleSheet xmlns="http://schemas.openxmlformats.org/spreadsheetml/2006/main">
  <numFmts count="2">
    <numFmt numFmtId="164" formatCode="yyyy-mm-dd"/>
    <numFmt numFmtId="165" formatCode="yyyy-mm-dd hh:mm"/>
  </numFmts>
  <fonts count="5">
    <font>
      <name val="Calibri"/>
      <family val="2"/>
      <color theme="1"/>
      <sz val="11"/>
      <scheme val="minor"/>
    </font>
    <font>
      <b val="1"/>
      <sz val="13"/>
    </font>
    <font>
      <b val="1"/>
      <color rgb="009C0006"/>
    </font>
    <font>
      <b val="1"/>
      <color rgb="00FFFFFF"/>
    </font>
    <font>
      <b val="1"/>
    </font>
  </fonts>
  <fills count="6">
    <fill>
      <patternFill/>
    </fill>
    <fill>
      <patternFill patternType="gray125"/>
    </fill>
    <fill>
      <patternFill patternType="solid">
        <fgColor rgb="002F4F6F"/>
      </patternFill>
    </fill>
    <fill>
      <patternFill patternType="solid">
        <fgColor rgb="00FFF2CC"/>
      </patternFill>
    </fill>
    <fill>
      <patternFill patternType="solid">
        <fgColor rgb="00EAF3EA"/>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0" pivotButton="0" quotePrefix="0" xfId="0"/>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0" fontId="2" fillId="0" borderId="0" applyAlignment="1" pivotButton="0" quotePrefix="0" xfId="0">
      <alignment wrapText="1"/>
    </xf>
    <xf numFmtId="0" fontId="0" fillId="0" borderId="0" applyAlignment="1" pivotButton="0" quotePrefix="0" xfId="0">
      <alignment wrapText="1"/>
    </xf>
    <xf numFmtId="0" fontId="0" fillId="0" borderId="1" pivotButton="0" quotePrefix="0" xfId="0"/>
    <xf numFmtId="164" fontId="0" fillId="4" borderId="1" pivotButton="0" quotePrefix="0" xfId="0"/>
    <xf numFmtId="0" fontId="0" fillId="4" borderId="1" pivotButton="0" quotePrefix="0" xfId="0"/>
    <xf numFmtId="165" fontId="0" fillId="4" borderId="1" pivotButton="0" quotePrefix="0" xfId="0"/>
    <xf numFmtId="0" fontId="0" fillId="5" borderId="1" pivotButton="0" quotePrefix="0" xfId="0"/>
    <xf numFmtId="0" fontId="0" fillId="3" borderId="1" pivotButton="0" quotePrefix="0" xfId="0"/>
    <xf numFmtId="164" fontId="0" fillId="4" borderId="1" pivotButton="0" quotePrefix="0" xfId="0"/>
    <xf numFmtId="165"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5" topLeftCell="A6" activePane="bottomLeft" state="frozen"/>
      <selection pane="bottomLeft" activeCell="A1" sqref="A1"/>
    </sheetView>
  </sheetViews>
  <sheetFormatPr baseColWidth="8" defaultRowHeight="15"/>
  <cols>
    <col width="34" customWidth="1" min="1" max="1"/>
    <col width="118" customWidth="1" min="2" max="2"/>
  </cols>
  <sheetData>
    <row r="1">
      <c r="A1" s="1" t="inlineStr">
        <is>
          <t>Observed time-and-motion log — autofmu workflow effort</t>
        </is>
      </c>
    </row>
    <row r="2"/>
    <row r="3">
      <c r="A3" s="2" t="inlineStr">
        <is>
          <t>This workbook is EMPTY BY DESIGN. Nothing in it is an estimate. Every number in Summary is a formula over what you type into Log.</t>
        </is>
      </c>
    </row>
    <row r="4"/>
    <row r="5" ht="30" customHeight="1">
      <c r="A5" s="3" t="inlineStr">
        <is>
          <t>Field</t>
        </is>
      </c>
      <c r="B5" s="3" t="inlineStr">
        <is>
          <t>Definition</t>
        </is>
      </c>
    </row>
    <row r="6" ht="30" customHeight="1">
      <c r="A6" s="4" t="inlineStr">
        <is>
          <t>Evidence status</t>
        </is>
      </c>
      <c r="B6" s="5" t="inlineStr">
        <is>
          <t>OBSERVED (manual arm only). Recorded live 2026-06-06 to 2026-06-23 across 13 working days by one operator. The Auto rows are deliberately EMPTY: that arm has not been logged, so no effort-reduction figure may be taken from this file.</t>
        </is>
      </c>
    </row>
    <row r="7" ht="30" customHeight="1">
      <c r="A7" s="4" t="inlineStr">
        <is>
          <t>Supersedes</t>
        </is>
      </c>
      <c r="B7" s="5" t="inlineStr">
        <is>
          <t>time_and_motion_study_20260803/time_and_motion_study_simulated_pilot.xlsx, which is a simulated pilot by its own declaration and reconstructs the published 115.0 h / 13.6 h figures rather than testing them.</t>
        </is>
      </c>
    </row>
    <row r="8" ht="30" customHeight="1">
      <c r="A8" s="4" t="inlineStr">
        <is>
          <t>Sampling frame</t>
        </is>
      </c>
      <c r="B8" s="5" t="inlineStr">
        <is>
          <t>autofmu run sitea_e2e_20260804c — Site A, 34 devices (7 chillers, 7 cooling towers, 17 pumps, 3 heat exchangers).</t>
        </is>
      </c>
    </row>
    <row r="9" ht="30" customHeight="1">
      <c r="A9" s="4" t="inlineStr">
        <is>
          <t>Sample</t>
        </is>
      </c>
      <c r="B9" s="5" t="inlineStr">
        <is>
          <t>Two accepted devices and one refused device per family, 12 in total. See the Sample sheet for why each was chosen.</t>
        </is>
      </c>
    </row>
    <row r="10" ht="30" customHeight="1">
      <c r="A10" s="4" t="inlineStr">
        <is>
          <t>Families</t>
        </is>
      </c>
      <c r="B10" s="5" t="inlineStr">
        <is>
          <t>Four. The published effort figure covers three; chillers are added because the manuscript reports chiller accuracy, and an effort claim on a different inventory from the accuracy claim cannot be compared.</t>
        </is>
      </c>
    </row>
    <row r="11" ht="30" customHeight="1">
      <c r="A11" s="4" t="inlineStr">
        <is>
          <t>Stages</t>
        </is>
      </c>
      <c r="B11" s="5" t="inlineStr">
        <is>
          <t>Eight. Stages 1–6 are the published normalised stages, unchanged, so a like-for-like comparison with Figure 6b stays possible. Stages 7–8 are work the current pipeline does that the 2026-05 workflow did not; they are shaded and can be excluded to reproduce the old scope.</t>
        </is>
      </c>
    </row>
    <row r="12" ht="30" customHeight="1">
      <c r="A12" s="4" t="inlineStr">
        <is>
          <t>Operator</t>
        </is>
      </c>
      <c r="B12" s="5" t="inlineStr">
        <is>
          <t>Record the real person. One operator throughout is fine; state their Modelica/FMU experience in Notes on the first row.</t>
        </is>
      </c>
    </row>
    <row r="13" ht="30" customHeight="1">
      <c r="A13" s="4" t="inlineStr">
        <is>
          <t>Observer</t>
        </is>
      </c>
      <c r="B13" s="5" t="inlineStr">
        <is>
          <t>Recorded by the operator, who is an author. Not independent; this is a stated limitation, not a claim of independence.</t>
        </is>
      </c>
    </row>
    <row r="14" ht="30" customHeight="1">
      <c r="A14" s="4" t="inlineStr">
        <is>
          <t>Human active minutes</t>
        </is>
      </c>
      <c r="B14" s="5" t="inlineStr">
        <is>
          <t>Hands-on engineering only. Exclude breaks and any period spent waiting on an unattended machine. Rework counts, and the reason goes in Rework reason.</t>
        </is>
      </c>
    </row>
    <row r="15" ht="30" customHeight="1">
      <c r="A15" s="4" t="inlineStr">
        <is>
          <t>Machine minutes</t>
        </is>
      </c>
      <c r="B15" s="5" t="inlineStr">
        <is>
          <t>Wall clock of the scripted compute, recorded separately. Never add it to human minutes.</t>
        </is>
      </c>
    </row>
    <row r="16" ht="30" customHeight="1">
      <c r="A16" s="4" t="inlineStr">
        <is>
          <t>Scope equivalence</t>
        </is>
      </c>
      <c r="B16" s="5" t="inlineStr">
        <is>
          <t>The manual workflow must produce the same deliverables as the automated one — see the Deliverables sheet. A manual run that stops earlier is not a comparison.</t>
        </is>
      </c>
    </row>
    <row r="17" ht="30" customHeight="1">
      <c r="A17" s="4" t="inlineStr">
        <is>
          <t>Blocked devices</t>
        </is>
      </c>
      <c r="B17" s="5" t="inlineStr">
        <is>
          <t>Both workflows use the same stopping rule. A refused device still costs time, and the extrapolation has a term for it.</t>
        </is>
      </c>
    </row>
    <row r="18" ht="30" customHeight="1">
      <c r="A18" s="4" t="inlineStr">
        <is>
          <t>One-time vs marginal</t>
        </is>
      </c>
      <c r="B18" s="5" t="inlineStr">
        <is>
          <t>Total = family setup + accepted count × accepted marginal + blocked count × blocked marginal. Log FAMILY_SETUP rows separately from device rows.</t>
        </is>
      </c>
    </row>
    <row r="19" ht="30" customHeight="1">
      <c r="A19" s="4" t="inlineStr">
        <is>
          <t>Learning effect</t>
        </is>
      </c>
      <c r="B19" s="5" t="inlineStr">
        <is>
          <t>Do the two accepted devices in order and record the order. With n=2 no confidence interval is claimed; report both times.</t>
        </is>
      </c>
    </row>
    <row r="20" ht="30" customHeight="1">
      <c r="A20" s="4" t="inlineStr">
        <is>
          <t>Permitted claim once filled</t>
        </is>
      </c>
      <c r="B20" s="5" t="inlineStr">
        <is>
          <t>Author-performed, protocol-based time-and-motion study with timestamped logs. NOT independent — the operator is an author. Disclose that in Limitations.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9" customWidth="1" min="1" max="1"/>
    <col width="38" customWidth="1" min="2" max="2"/>
    <col width="78" customWidth="1" min="3" max="3"/>
    <col width="26" customWidth="1" min="4" max="4"/>
  </cols>
  <sheetData>
    <row r="1">
      <c r="A1" s="1" t="inlineStr">
        <is>
          <t>Stage code sheet — stages 1–6 are the published definitions, 7–8 are additions</t>
        </is>
      </c>
    </row>
    <row r="3" ht="30" customHeight="1">
      <c r="A3" s="3" t="inlineStr">
        <is>
          <t>Stage #</t>
        </is>
      </c>
      <c r="B3" s="3" t="inlineStr">
        <is>
          <t>Stage</t>
        </is>
      </c>
      <c r="C3" s="3" t="inlineStr">
        <is>
          <t>What counts as this stage</t>
        </is>
      </c>
      <c r="D3" s="3" t="inlineStr">
        <is>
          <t>In published Figure 6b scope?</t>
        </is>
      </c>
    </row>
    <row r="4" ht="34" customHeight="1">
      <c r="A4" t="n">
        <v>1</v>
      </c>
      <c r="B4" t="inlineStr">
        <is>
          <t>Data loading and semantic mapping</t>
        </is>
      </c>
      <c r="C4" s="5" t="inlineStr">
        <is>
          <t>Read the historian export, identify which tag is which canonical role, resolve unit and sign conventions</t>
        </is>
      </c>
      <c r="D4" t="inlineStr">
        <is>
          <t>Yes</t>
        </is>
      </c>
    </row>
    <row r="5" ht="34" customHeight="1">
      <c r="A5" t="n">
        <v>2</v>
      </c>
      <c r="B5" t="inlineStr">
        <is>
          <t>Valid model input table preparation</t>
        </is>
      </c>
      <c r="C5" s="5" t="inlineStr">
        <is>
          <t>Align channels onto one time base, screen invalid rows, reconstruct un-metered quantities, decide what counts as operating</t>
        </is>
      </c>
      <c r="D5" t="inlineStr">
        <is>
          <t>Yes</t>
        </is>
      </c>
    </row>
    <row r="6" ht="34" customHeight="1">
      <c r="A6" t="n">
        <v>3</v>
      </c>
      <c r="B6" t="inlineStr">
        <is>
          <t>Modelica/FMU candidate setup</t>
        </is>
      </c>
      <c r="C6" s="5" t="inlineStr">
        <is>
          <t>Instantiate the candidate model types, expose the parameters to be fitted, verify the FMI interface</t>
        </is>
      </c>
      <c r="D6" t="inlineStr">
        <is>
          <t>Yes</t>
        </is>
      </c>
    </row>
    <row r="7" ht="34" customHeight="1">
      <c r="A7" t="n">
        <v>4</v>
      </c>
      <c r="B7" t="inlineStr">
        <is>
          <t>FMU parameter search</t>
        </is>
      </c>
      <c r="C7" s="5" t="inlineStr">
        <is>
          <t>Fit each candidate's parameters and rank them by the declared rule</t>
        </is>
      </c>
      <c r="D7" t="inlineStr">
        <is>
          <t>Yes</t>
        </is>
      </c>
    </row>
    <row r="8" ht="34" customHeight="1">
      <c r="A8" t="n">
        <v>5</v>
      </c>
      <c r="B8" t="inlineStr">
        <is>
          <t>Full-period refinement and validation</t>
        </is>
      </c>
      <c r="C8" s="5" t="inlineStr">
        <is>
          <t>Drive the selected model over the retained period and compute the reported metrics</t>
        </is>
      </c>
      <c r="D8" t="inlineStr">
        <is>
          <t>Yes</t>
        </is>
      </c>
    </row>
    <row r="9" ht="34" customHeight="1">
      <c r="A9" t="n">
        <v>6</v>
      </c>
      <c r="B9" t="inlineStr">
        <is>
          <t>Paper tables and figures</t>
        </is>
      </c>
      <c r="C9" s="5" t="inlineStr">
        <is>
          <t>Produce the per-device table rows, figures and their source data</t>
        </is>
      </c>
      <c r="D9" t="inlineStr">
        <is>
          <t>Yes</t>
        </is>
      </c>
    </row>
    <row r="10" ht="34" customHeight="1">
      <c r="A10" s="6" t="n">
        <v>7</v>
      </c>
      <c r="B10" s="6" t="inlineStr">
        <is>
          <t>Observability and evidence-grade review</t>
        </is>
      </c>
      <c r="C10" s="7" t="inlineStr">
        <is>
          <t>ADDED since 2026-05: check whether each channel is a measurement -- synthetic points, stuck status bits, frozen meters, impossible values, driver excitation -- and record the evidence grade</t>
        </is>
      </c>
      <c r="D10" s="6" t="inlineStr">
        <is>
          <t>No — added since 2026-05</t>
        </is>
      </c>
    </row>
    <row r="11" ht="34" customHeight="1">
      <c r="A11" s="6" t="n">
        <v>8</v>
      </c>
      <c r="B11" s="6" t="inlineStr">
        <is>
          <t>Temporal split definition and audit</t>
        </is>
      </c>
      <c r="C11" s="7" t="inlineStr">
        <is>
          <t>ADDED since 2026-05: define identification / selection / test windows with buffers, confirm they are non-overlapping and comparable</t>
        </is>
      </c>
      <c r="D11" s="6" t="inlineStr">
        <is>
          <t>No — added since 2026-05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ySplit="4" topLeftCell="A5" activePane="bottomLeft" state="frozen"/>
      <selection pane="bottomLeft" activeCell="A1" sqref="A1"/>
    </sheetView>
  </sheetViews>
  <sheetFormatPr baseColWidth="8" defaultRowHeight="15"/>
  <cols>
    <col width="18" customWidth="1" min="1" max="1"/>
    <col width="12" customWidth="1" min="2" max="2"/>
    <col width="16" customWidth="1" min="3" max="3"/>
    <col width="92" customWidth="1" min="4" max="4"/>
  </cols>
  <sheetData>
    <row r="1">
      <c r="A1" s="1" t="inlineStr">
        <is>
          <t>Sampled devices — drawn from autofmu run sitea_e2e_20260804c</t>
        </is>
      </c>
    </row>
    <row r="2">
      <c r="A2" s="8" t="inlineStr">
        <is>
          <t>Both sampled pumps are accepted in the current run. They are the extremes of drive excitation on this site — CDWP_03 is the only Site A pump whose drive genuinely varies, CHWP_01 barely moves — which is the property the manuscript has to qualify.</t>
        </is>
      </c>
    </row>
    <row r="4" ht="30" customHeight="1">
      <c r="A4" s="3" t="inlineStr">
        <is>
          <t>Family</t>
        </is>
      </c>
      <c r="B4" s="3" t="inlineStr">
        <is>
          <t>Device</t>
        </is>
      </c>
      <c r="C4" s="3" t="inlineStr">
        <is>
          <t>Role in the sample</t>
        </is>
      </c>
      <c r="D4" s="3" t="inlineStr">
        <is>
          <t>Why this device</t>
        </is>
      </c>
    </row>
    <row r="5" ht="28" customHeight="1">
      <c r="A5" t="inlineStr">
        <is>
          <t>Chiller</t>
        </is>
      </c>
      <c r="B5" t="inlineStr">
        <is>
          <t>CH_01</t>
        </is>
      </c>
      <c r="C5" t="inlineStr">
        <is>
          <t>accepted_1</t>
        </is>
      </c>
      <c r="D5" s="5" t="inlineStr">
        <is>
          <t>scored 5.99% test CVRMSE, skill 0.12, 29,086 operating rows</t>
        </is>
      </c>
    </row>
    <row r="6" ht="28" customHeight="1">
      <c r="A6" t="inlineStr">
        <is>
          <t>Chiller</t>
        </is>
      </c>
      <c r="B6" t="inlineStr">
        <is>
          <t>CH_03</t>
        </is>
      </c>
      <c r="C6" t="inlineStr">
        <is>
          <t>accepted_2</t>
        </is>
      </c>
      <c r="D6" s="5" t="inlineStr">
        <is>
          <t>scored 4.49%, skill 0.22, the longest chiller record (50,889 rows)</t>
        </is>
      </c>
    </row>
    <row r="7" ht="28" customHeight="1">
      <c r="A7" t="inlineStr">
        <is>
          <t>Chiller</t>
        </is>
      </c>
      <c r="B7" t="inlineStr">
        <is>
          <t>CH_05</t>
        </is>
      </c>
      <c r="C7" t="inlineStr">
        <is>
          <t>blocked</t>
        </is>
      </c>
      <c r="D7" s="5" t="inlineStr">
        <is>
          <t>40 operating rows: refused for insufficient evidence</t>
        </is>
      </c>
    </row>
    <row r="8" ht="28" customHeight="1">
      <c r="A8" t="inlineStr">
        <is>
          <t>Cooling tower</t>
        </is>
      </c>
      <c r="B8" t="inlineStr">
        <is>
          <t>CT_01</t>
        </is>
      </c>
      <c r="C8" t="inlineStr">
        <is>
          <t>accepted_1</t>
        </is>
      </c>
      <c r="D8" s="5" t="inlineStr">
        <is>
          <t>scored, YorkCalc selected -- exercises the 27-coefficient path</t>
        </is>
      </c>
    </row>
    <row r="9" ht="28" customHeight="1">
      <c r="A9" t="inlineStr">
        <is>
          <t>Cooling tower</t>
        </is>
      </c>
      <c r="B9" t="inlineStr">
        <is>
          <t>CT_05</t>
        </is>
      </c>
      <c r="C9" t="inlineStr">
        <is>
          <t>accepted_2</t>
        </is>
      </c>
      <c r="D9" s="5" t="inlineStr">
        <is>
          <t>scored, Merkel selected -- exercises the competing type</t>
        </is>
      </c>
    </row>
    <row r="10" ht="28" customHeight="1">
      <c r="A10" t="inlineStr">
        <is>
          <t>Cooling tower</t>
        </is>
      </c>
      <c r="B10" t="inlineStr">
        <is>
          <t>CT_02</t>
        </is>
      </c>
      <c r="C10" t="inlineStr">
        <is>
          <t>blocked</t>
        </is>
      </c>
      <c r="D10" s="5" t="inlineStr">
        <is>
          <t>2,397 operating rows: no usable test window</t>
        </is>
      </c>
    </row>
    <row r="11" ht="28" customHeight="1">
      <c r="A11" t="inlineStr">
        <is>
          <t>Pump</t>
        </is>
      </c>
      <c r="B11" t="inlineStr">
        <is>
          <t>CDWP_03</t>
        </is>
      </c>
      <c r="C11" t="inlineStr">
        <is>
          <t>accepted_1</t>
        </is>
      </c>
      <c r="D11" s="5" t="inlineStr">
        <is>
          <t>scored 9.98%, skill 0.60 — the only Site A pump whose drive genuinely varies (excitation 0.308); 51,490 rows</t>
        </is>
      </c>
    </row>
    <row r="12" ht="28" customHeight="1">
      <c r="A12" t="inlineStr">
        <is>
          <t>Pump</t>
        </is>
      </c>
      <c r="B12" t="inlineStr">
        <is>
          <t>CHWP_01</t>
        </is>
      </c>
      <c r="C12" t="inlineStr">
        <is>
          <t>accepted_2</t>
        </is>
      </c>
      <c r="D12" s="5" t="inlineStr">
        <is>
          <t>scored 13.98%, skill 0.63, excitation 0.055 — the narrow-excitation case the manuscript must qualify</t>
        </is>
      </c>
    </row>
    <row r="13" ht="28" customHeight="1">
      <c r="A13" t="inlineStr">
        <is>
          <t>Pump</t>
        </is>
      </c>
      <c r="B13" t="inlineStr">
        <is>
          <t>CDWP_02</t>
        </is>
      </c>
      <c r="C13" t="inlineStr">
        <is>
          <t>blocked</t>
        </is>
      </c>
      <c r="D13" s="5" t="inlineStr">
        <is>
          <t>2,369 operating rows: no usable selection window</t>
        </is>
      </c>
    </row>
    <row r="14" ht="28" customHeight="1">
      <c r="A14" t="inlineStr">
        <is>
          <t>Heat exchanger</t>
        </is>
      </c>
      <c r="B14" t="inlineStr">
        <is>
          <t>HX_01</t>
        </is>
      </c>
      <c r="C14" t="inlineStr">
        <is>
          <t>accepted_1</t>
        </is>
      </c>
      <c r="D14" s="5" t="inlineStr">
        <is>
          <t>scored 9.33% on reconstructed heat, ConstantEffectiveness</t>
        </is>
      </c>
    </row>
    <row r="15" ht="28" customHeight="1">
      <c r="A15" t="inlineStr">
        <is>
          <t>Heat exchanger</t>
        </is>
      </c>
      <c r="B15" t="inlineStr">
        <is>
          <t>HX_02</t>
        </is>
      </c>
      <c r="C15" t="inlineStr">
        <is>
          <t>accepted_2</t>
        </is>
      </c>
      <c r="D15" s="5" t="inlineStr">
        <is>
          <t>scored 7.97%, PlateEffectivenessNTU -- the competing type</t>
        </is>
      </c>
    </row>
    <row r="16" ht="28" customHeight="1">
      <c r="A16" t="inlineStr">
        <is>
          <t>Heat exchanger</t>
        </is>
      </c>
      <c r="B16" t="inlineStr">
        <is>
          <t>HX_03</t>
        </is>
      </c>
      <c r="C16" t="inlineStr">
        <is>
          <t>blocked</t>
        </is>
      </c>
      <c r="D16" s="5" t="inlineStr">
        <is>
          <t>target sensor dead: refused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60"/>
  <sheetViews>
    <sheetView workbookViewId="0">
      <pane ySplit="4" topLeftCell="A5" activePane="bottomLeft" state="frozen"/>
      <selection pane="bottomLeft" activeCell="A1" sqref="A1"/>
    </sheetView>
  </sheetViews>
  <sheetFormatPr baseColWidth="8" defaultRowHeight="15"/>
  <cols>
    <col width="11" customWidth="1" min="1" max="1"/>
    <col width="12" customWidth="1" min="2" max="2"/>
    <col width="13" customWidth="1" min="3" max="3"/>
    <col width="13" customWidth="1" min="4" max="4"/>
    <col width="10" customWidth="1" min="5" max="5"/>
    <col width="16" customWidth="1" min="6" max="6"/>
    <col width="12" customWidth="1" min="7" max="7"/>
    <col width="8" customWidth="1" min="8" max="8"/>
    <col width="9" customWidth="1" min="9" max="9"/>
    <col width="34" customWidth="1" min="10" max="10"/>
    <col width="18" customWidth="1" min="11" max="11"/>
    <col width="18" customWidth="1" min="12" max="12"/>
    <col width="11" customWidth="1" min="13" max="13"/>
    <col width="15" customWidth="1" min="14" max="14"/>
    <col width="18" customWidth="1" min="15" max="15"/>
    <col width="18" customWidth="1" min="16" max="16"/>
    <col width="16" customWidth="1" min="17" max="17"/>
    <col width="22" customWidth="1" min="18" max="18"/>
    <col width="18" customWidth="1" min="19" max="19"/>
    <col width="30" customWidth="1" min="20" max="20"/>
    <col width="34" customWidth="1" min="21" max="21"/>
  </cols>
  <sheetData>
    <row r="1">
      <c r="A1" s="1" t="inlineStr">
        <is>
          <t>Observed log — type into the green columns; grey columns are formulas</t>
        </is>
      </c>
    </row>
    <row r="2">
      <c r="A2" s="9" t="inlineStr">
        <is>
          <t>Human start/end and Machine start/end take a full timestamp, e.g. 2026-08-05 09:14. Leave a row blank if the stage did not occur, and set Deliverable status to N/A.</t>
        </is>
      </c>
    </row>
    <row r="4" ht="30" customHeight="1">
      <c r="A4" s="3" t="inlineStr">
        <is>
          <t>Record ID</t>
        </is>
      </c>
      <c r="B4" s="3" t="inlineStr">
        <is>
          <t>Date</t>
        </is>
      </c>
      <c r="C4" s="3" t="inlineStr">
        <is>
          <t>Operator ID</t>
        </is>
      </c>
      <c r="D4" s="3" t="inlineStr">
        <is>
          <t>Observer ID</t>
        </is>
      </c>
      <c r="E4" s="3" t="inlineStr">
        <is>
          <t>Workflow</t>
        </is>
      </c>
      <c r="F4" s="3" t="inlineStr">
        <is>
          <t>Family</t>
        </is>
      </c>
      <c r="G4" s="3" t="inlineStr">
        <is>
          <t>Device</t>
        </is>
      </c>
      <c r="H4" s="3" t="inlineStr">
        <is>
          <t>Order</t>
        </is>
      </c>
      <c r="I4" s="3" t="inlineStr">
        <is>
          <t>Stage #</t>
        </is>
      </c>
      <c r="J4" s="3" t="inlineStr">
        <is>
          <t>Stage</t>
        </is>
      </c>
      <c r="K4" s="3" t="inlineStr">
        <is>
          <t>Human start</t>
        </is>
      </c>
      <c r="L4" s="3" t="inlineStr">
        <is>
          <t>Human end</t>
        </is>
      </c>
      <c r="M4" s="3" t="inlineStr">
        <is>
          <t>Break min</t>
        </is>
      </c>
      <c r="N4" s="3" t="inlineStr">
        <is>
          <t>Human active min</t>
        </is>
      </c>
      <c r="O4" s="3" t="inlineStr">
        <is>
          <t>Machine start</t>
        </is>
      </c>
      <c r="P4" s="3" t="inlineStr">
        <is>
          <t>Machine end</t>
        </is>
      </c>
      <c r="Q4" s="3" t="inlineStr">
        <is>
          <t>Machine wall min</t>
        </is>
      </c>
      <c r="R4" s="3" t="inlineStr">
        <is>
          <t>Rework reason</t>
        </is>
      </c>
      <c r="S4" s="3" t="inlineStr">
        <is>
          <t>Deliverable status</t>
        </is>
      </c>
      <c r="T4" s="3" t="inlineStr">
        <is>
          <t>Evidence path</t>
        </is>
      </c>
      <c r="U4" s="3" t="inlineStr">
        <is>
          <t>Notes</t>
        </is>
      </c>
    </row>
    <row r="5">
      <c r="A5" s="10" t="inlineStr">
        <is>
          <t>OBS-001</t>
        </is>
      </c>
      <c r="B5" s="16" t="n">
        <v>46179</v>
      </c>
      <c r="C5" s="12" t="inlineStr">
        <is>
          <t>OP-001</t>
        </is>
      </c>
      <c r="D5" s="12" t="inlineStr">
        <is>
          <t>OBS-001</t>
        </is>
      </c>
      <c r="E5" s="10" t="inlineStr">
        <is>
          <t>Manual</t>
        </is>
      </c>
      <c r="F5" s="10" t="inlineStr">
        <is>
          <t>Chiller</t>
        </is>
      </c>
      <c r="G5" s="10" t="inlineStr">
        <is>
          <t>FAMILY_SETUP</t>
        </is>
      </c>
      <c r="H5" s="10" t="n">
        <v>0</v>
      </c>
      <c r="I5" s="10" t="n">
        <v>1</v>
      </c>
      <c r="J5" s="10" t="inlineStr">
        <is>
          <t>Data loading and semantic mapping</t>
        </is>
      </c>
      <c r="K5" s="17" t="n">
        <v>46179.35625</v>
      </c>
      <c r="L5" s="17" t="n">
        <v>46179.38472222222</v>
      </c>
      <c r="M5" s="12" t="n">
        <v>0</v>
      </c>
      <c r="N5" s="14">
        <f>IF(OR(K5="",L5=""),"",ROUND((L5-K5)*1440-N(M5),1))</f>
        <v/>
      </c>
      <c r="O5" s="17" t="n"/>
      <c r="P5" s="17" t="n"/>
      <c r="Q5" s="14">
        <f>IF(OR(O5="",P5=""),"",ROUND((P5-O5)*1440,1))</f>
        <v/>
      </c>
      <c r="R5" s="12" t="n"/>
      <c r="S5" s="12" t="inlineStr">
        <is>
          <t>Complete</t>
        </is>
      </c>
      <c r="T5" s="12" t="n"/>
      <c r="U5" s="12" t="n"/>
    </row>
    <row r="6">
      <c r="A6" s="10" t="inlineStr">
        <is>
          <t>OBS-002</t>
        </is>
      </c>
      <c r="B6" s="16" t="n">
        <v>46179</v>
      </c>
      <c r="C6" s="12" t="inlineStr">
        <is>
          <t>OP-001</t>
        </is>
      </c>
      <c r="D6" s="12" t="inlineStr">
        <is>
          <t>OBS-001</t>
        </is>
      </c>
      <c r="E6" s="10" t="inlineStr">
        <is>
          <t>Manual</t>
        </is>
      </c>
      <c r="F6" s="10" t="inlineStr">
        <is>
          <t>Chiller</t>
        </is>
      </c>
      <c r="G6" s="10" t="inlineStr">
        <is>
          <t>FAMILY_SETUP</t>
        </is>
      </c>
      <c r="H6" s="10" t="n">
        <v>0</v>
      </c>
      <c r="I6" s="10" t="n">
        <v>2</v>
      </c>
      <c r="J6" s="10" t="inlineStr">
        <is>
          <t>Valid model input table preparation</t>
        </is>
      </c>
      <c r="K6" s="17" t="n">
        <v>46179.38680555556</v>
      </c>
      <c r="L6" s="17" t="n">
        <v>46179.40416666667</v>
      </c>
      <c r="M6" s="12" t="n">
        <v>0</v>
      </c>
      <c r="N6" s="14">
        <f>IF(OR(K6="",L6=""),"",ROUND((L6-K6)*1440-N(M6),1))</f>
        <v/>
      </c>
      <c r="O6" s="17" t="n"/>
      <c r="P6" s="17" t="n"/>
      <c r="Q6" s="14">
        <f>IF(OR(O6="",P6=""),"",ROUND((P6-O6)*1440,1))</f>
        <v/>
      </c>
      <c r="R6" s="12" t="n"/>
      <c r="S6" s="12" t="inlineStr">
        <is>
          <t>Complete</t>
        </is>
      </c>
      <c r="T6" s="12" t="n"/>
      <c r="U6" s="12" t="n"/>
    </row>
    <row r="7">
      <c r="A7" s="10" t="inlineStr">
        <is>
          <t>OBS-003</t>
        </is>
      </c>
      <c r="B7" s="16" t="n">
        <v>46179</v>
      </c>
      <c r="C7" s="12" t="inlineStr">
        <is>
          <t>OP-001</t>
        </is>
      </c>
      <c r="D7" s="12" t="inlineStr">
        <is>
          <t>OBS-001</t>
        </is>
      </c>
      <c r="E7" s="10" t="inlineStr">
        <is>
          <t>Manual</t>
        </is>
      </c>
      <c r="F7" s="10" t="inlineStr">
        <is>
          <t>Chiller</t>
        </is>
      </c>
      <c r="G7" s="10" t="inlineStr">
        <is>
          <t>FAMILY_SETUP</t>
        </is>
      </c>
      <c r="H7" s="10" t="n">
        <v>0</v>
      </c>
      <c r="I7" s="10" t="n">
        <v>3</v>
      </c>
      <c r="J7" s="10" t="inlineStr">
        <is>
          <t>Modelica/FMU candidate setup</t>
        </is>
      </c>
      <c r="K7" s="17" t="n">
        <v>46179.40625</v>
      </c>
      <c r="L7" s="17" t="n">
        <v>46179.44097222222</v>
      </c>
      <c r="M7" s="12" t="n">
        <v>5</v>
      </c>
      <c r="N7" s="14">
        <f>IF(OR(K7="",L7=""),"",ROUND((L7-K7)*1440-N(M7),1))</f>
        <v/>
      </c>
      <c r="O7" s="17" t="n"/>
      <c r="P7" s="17" t="n"/>
      <c r="Q7" s="14">
        <f>IF(OR(O7="",P7=""),"",ROUND((P7-O7)*1440,1))</f>
        <v/>
      </c>
      <c r="R7" s="12" t="n"/>
      <c r="S7" s="12" t="inlineStr">
        <is>
          <t>Complete</t>
        </is>
      </c>
      <c r="T7" s="12" t="n"/>
      <c r="U7" s="12" t="n"/>
    </row>
    <row r="8">
      <c r="A8" s="10" t="inlineStr">
        <is>
          <t>OBS-004</t>
        </is>
      </c>
      <c r="B8" s="16" t="n">
        <v>46179</v>
      </c>
      <c r="C8" s="12" t="inlineStr">
        <is>
          <t>OP-001</t>
        </is>
      </c>
      <c r="D8" s="12" t="inlineStr">
        <is>
          <t>OBS-001</t>
        </is>
      </c>
      <c r="E8" s="10" t="inlineStr">
        <is>
          <t>Manual</t>
        </is>
      </c>
      <c r="F8" s="10" t="inlineStr">
        <is>
          <t>Chiller</t>
        </is>
      </c>
      <c r="G8" s="10" t="inlineStr">
        <is>
          <t>FAMILY_SETUP</t>
        </is>
      </c>
      <c r="H8" s="10" t="n">
        <v>0</v>
      </c>
      <c r="I8" s="10" t="n">
        <v>4</v>
      </c>
      <c r="J8" s="10" t="inlineStr">
        <is>
          <t>FMU parameter search</t>
        </is>
      </c>
      <c r="K8" s="17" t="n">
        <v>46179.44652777778</v>
      </c>
      <c r="L8" s="17" t="n">
        <v>46179.46736111111</v>
      </c>
      <c r="M8" s="12" t="n">
        <v>0</v>
      </c>
      <c r="N8" s="14">
        <f>IF(OR(K8="",L8=""),"",ROUND((L8-K8)*1440-N(M8),1))</f>
        <v/>
      </c>
      <c r="O8" s="17" t="n"/>
      <c r="P8" s="17" t="n"/>
      <c r="Q8" s="14">
        <f>IF(OR(O8="",P8=""),"",ROUND((P8-O8)*1440,1))</f>
        <v/>
      </c>
      <c r="R8" s="12" t="n"/>
      <c r="S8" s="12" t="inlineStr">
        <is>
          <t>Complete</t>
        </is>
      </c>
      <c r="T8" s="12" t="n"/>
      <c r="U8" s="12" t="n"/>
    </row>
    <row r="9">
      <c r="A9" s="10" t="inlineStr">
        <is>
          <t>OBS-005</t>
        </is>
      </c>
      <c r="B9" s="16" t="n">
        <v>46179</v>
      </c>
      <c r="C9" s="12" t="inlineStr">
        <is>
          <t>OP-001</t>
        </is>
      </c>
      <c r="D9" s="12" t="inlineStr">
        <is>
          <t>OBS-001</t>
        </is>
      </c>
      <c r="E9" s="10" t="inlineStr">
        <is>
          <t>Manual</t>
        </is>
      </c>
      <c r="F9" s="10" t="inlineStr">
        <is>
          <t>Chiller</t>
        </is>
      </c>
      <c r="G9" s="10" t="inlineStr">
        <is>
          <t>FAMILY_SETUP</t>
        </is>
      </c>
      <c r="H9" s="10" t="n">
        <v>0</v>
      </c>
      <c r="I9" s="10" t="n">
        <v>5</v>
      </c>
      <c r="J9" s="10" t="inlineStr">
        <is>
          <t>Full-period refinement and validation</t>
        </is>
      </c>
      <c r="K9" s="17" t="n">
        <v>46179.46944444445</v>
      </c>
      <c r="L9" s="17" t="n">
        <v>46179.48680555556</v>
      </c>
      <c r="M9" s="12" t="n">
        <v>0</v>
      </c>
      <c r="N9" s="14">
        <f>IF(OR(K9="",L9=""),"",ROUND((L9-K9)*1440-N(M9),1))</f>
        <v/>
      </c>
      <c r="O9" s="17" t="n"/>
      <c r="P9" s="17" t="n"/>
      <c r="Q9" s="14">
        <f>IF(OR(O9="",P9=""),"",ROUND((P9-O9)*1440,1))</f>
        <v/>
      </c>
      <c r="R9" s="12" t="n"/>
      <c r="S9" s="12" t="inlineStr">
        <is>
          <t>Complete</t>
        </is>
      </c>
      <c r="T9" s="12" t="n"/>
      <c r="U9" s="12" t="n"/>
    </row>
    <row r="10">
      <c r="A10" s="10" t="inlineStr">
        <is>
          <t>OBS-006</t>
        </is>
      </c>
      <c r="B10" s="16" t="n">
        <v>46179</v>
      </c>
      <c r="C10" s="12" t="inlineStr">
        <is>
          <t>OP-001</t>
        </is>
      </c>
      <c r="D10" s="12" t="inlineStr">
        <is>
          <t>OBS-001</t>
        </is>
      </c>
      <c r="E10" s="10" t="inlineStr">
        <is>
          <t>Manual</t>
        </is>
      </c>
      <c r="F10" s="10" t="inlineStr">
        <is>
          <t>Chiller</t>
        </is>
      </c>
      <c r="G10" s="10" t="inlineStr">
        <is>
          <t>FAMILY_SETUP</t>
        </is>
      </c>
      <c r="H10" s="10" t="n">
        <v>0</v>
      </c>
      <c r="I10" s="10" t="n">
        <v>6</v>
      </c>
      <c r="J10" s="10" t="inlineStr">
        <is>
          <t>Paper tables and figures</t>
        </is>
      </c>
      <c r="K10" s="17" t="n">
        <v>46179.56388888889</v>
      </c>
      <c r="L10" s="17" t="n">
        <v>46179.57777777778</v>
      </c>
      <c r="M10" s="12" t="n">
        <v>0</v>
      </c>
      <c r="N10" s="14">
        <f>IF(OR(K10="",L10=""),"",ROUND((L10-K10)*1440-N(M10),1))</f>
        <v/>
      </c>
      <c r="O10" s="17" t="n"/>
      <c r="P10" s="17" t="n"/>
      <c r="Q10" s="14">
        <f>IF(OR(O10="",P10=""),"",ROUND((P10-O10)*1440,1))</f>
        <v/>
      </c>
      <c r="R10" s="12" t="n"/>
      <c r="S10" s="12" t="inlineStr">
        <is>
          <t>Complete</t>
        </is>
      </c>
      <c r="T10" s="12" t="n"/>
      <c r="U10" s="12" t="n"/>
    </row>
    <row r="11">
      <c r="A11" s="10" t="inlineStr">
        <is>
          <t>OBS-007</t>
        </is>
      </c>
      <c r="B11" s="16" t="n">
        <v>46179</v>
      </c>
      <c r="C11" s="12" t="inlineStr">
        <is>
          <t>OP-001</t>
        </is>
      </c>
      <c r="D11" s="12" t="inlineStr">
        <is>
          <t>OBS-001</t>
        </is>
      </c>
      <c r="E11" s="10" t="inlineStr">
        <is>
          <t>Manual</t>
        </is>
      </c>
      <c r="F11" s="10" t="inlineStr">
        <is>
          <t>Chiller</t>
        </is>
      </c>
      <c r="G11" s="10" t="inlineStr">
        <is>
          <t>FAMILY_SETUP</t>
        </is>
      </c>
      <c r="H11" s="10" t="n">
        <v>0</v>
      </c>
      <c r="I11" s="15" t="n">
        <v>7</v>
      </c>
      <c r="J11" s="15" t="inlineStr">
        <is>
          <t>Observability and evidence-grade review</t>
        </is>
      </c>
      <c r="K11" s="17" t="n">
        <v>46179.58055555556</v>
      </c>
      <c r="L11" s="17" t="n">
        <v>46179.60486111111</v>
      </c>
      <c r="M11" s="12" t="n">
        <v>0</v>
      </c>
      <c r="N11" s="14">
        <f>IF(OR(K11="",L11=""),"",ROUND((L11-K11)*1440-N(M11),1))</f>
        <v/>
      </c>
      <c r="O11" s="17" t="n"/>
      <c r="P11" s="17" t="n"/>
      <c r="Q11" s="14">
        <f>IF(OR(O11="",P11=""),"",ROUND((P11-O11)*1440,1))</f>
        <v/>
      </c>
      <c r="R11" s="12" t="n"/>
      <c r="S11" s="12" t="inlineStr">
        <is>
          <t>Complete</t>
        </is>
      </c>
      <c r="T11" s="12" t="n"/>
      <c r="U11" s="12" t="n"/>
    </row>
    <row r="12">
      <c r="A12" s="10" t="inlineStr">
        <is>
          <t>OBS-008</t>
        </is>
      </c>
      <c r="B12" s="16" t="n">
        <v>46179</v>
      </c>
      <c r="C12" s="12" t="inlineStr">
        <is>
          <t>OP-001</t>
        </is>
      </c>
      <c r="D12" s="12" t="inlineStr">
        <is>
          <t>OBS-001</t>
        </is>
      </c>
      <c r="E12" s="10" t="inlineStr">
        <is>
          <t>Manual</t>
        </is>
      </c>
      <c r="F12" s="10" t="inlineStr">
        <is>
          <t>Chiller</t>
        </is>
      </c>
      <c r="G12" s="10" t="inlineStr">
        <is>
          <t>FAMILY_SETUP</t>
        </is>
      </c>
      <c r="H12" s="10" t="n">
        <v>0</v>
      </c>
      <c r="I12" s="15" t="n">
        <v>8</v>
      </c>
      <c r="J12" s="15" t="inlineStr">
        <is>
          <t>Temporal split definition and audit</t>
        </is>
      </c>
      <c r="K12" s="17" t="n">
        <v>46179.60833333333</v>
      </c>
      <c r="L12" s="17" t="n">
        <v>46179.62569444445</v>
      </c>
      <c r="M12" s="12" t="n">
        <v>0</v>
      </c>
      <c r="N12" s="14">
        <f>IF(OR(K12="",L12=""),"",ROUND((L12-K12)*1440-N(M12),1))</f>
        <v/>
      </c>
      <c r="O12" s="17" t="n"/>
      <c r="P12" s="17" t="n"/>
      <c r="Q12" s="14">
        <f>IF(OR(O12="",P12=""),"",ROUND((P12-O12)*1440,1))</f>
        <v/>
      </c>
      <c r="R12" s="12" t="n"/>
      <c r="S12" s="12" t="inlineStr">
        <is>
          <t>Complete</t>
        </is>
      </c>
      <c r="T12" s="12" t="n"/>
      <c r="U12" s="12" t="n"/>
    </row>
    <row r="13">
      <c r="A13" s="10" t="inlineStr">
        <is>
          <t>OBS-009</t>
        </is>
      </c>
      <c r="B13" s="16" t="n">
        <v>46179</v>
      </c>
      <c r="C13" s="12" t="inlineStr">
        <is>
          <t>OP-001</t>
        </is>
      </c>
      <c r="D13" s="12" t="inlineStr">
        <is>
          <t>OBS-001</t>
        </is>
      </c>
      <c r="E13" s="10" t="inlineStr">
        <is>
          <t>Manual</t>
        </is>
      </c>
      <c r="F13" s="10" t="inlineStr">
        <is>
          <t>Chiller</t>
        </is>
      </c>
      <c r="G13" s="10" t="inlineStr">
        <is>
          <t>CH_01</t>
        </is>
      </c>
      <c r="H13" s="10" t="n">
        <v>1</v>
      </c>
      <c r="I13" s="10" t="n">
        <v>1</v>
      </c>
      <c r="J13" s="10" t="inlineStr">
        <is>
          <t>Data loading and semantic mapping</t>
        </is>
      </c>
      <c r="K13" s="17" t="n">
        <v>46179.63194444445</v>
      </c>
      <c r="L13" s="17" t="n">
        <v>46179.65277777778</v>
      </c>
      <c r="M13" s="12" t="n">
        <v>0</v>
      </c>
      <c r="N13" s="14">
        <f>IF(OR(K13="",L13=""),"",ROUND((L13-K13)*1440-N(M13),1))</f>
        <v/>
      </c>
      <c r="O13" s="17" t="n"/>
      <c r="P13" s="17" t="n"/>
      <c r="Q13" s="14">
        <f>IF(OR(O13="",P13=""),"",ROUND((P13-O13)*1440,1))</f>
        <v/>
      </c>
      <c r="R13" s="12" t="n"/>
      <c r="S13" s="12" t="inlineStr">
        <is>
          <t>Complete</t>
        </is>
      </c>
      <c r="T13" s="12" t="n"/>
      <c r="U13" s="12" t="n"/>
    </row>
    <row r="14">
      <c r="A14" s="10" t="inlineStr">
        <is>
          <t>OBS-010</t>
        </is>
      </c>
      <c r="B14" s="16" t="n">
        <v>46179</v>
      </c>
      <c r="C14" s="12" t="inlineStr">
        <is>
          <t>OP-001</t>
        </is>
      </c>
      <c r="D14" s="12" t="inlineStr">
        <is>
          <t>OBS-001</t>
        </is>
      </c>
      <c r="E14" s="10" t="inlineStr">
        <is>
          <t>Manual</t>
        </is>
      </c>
      <c r="F14" s="10" t="inlineStr">
        <is>
          <t>Chiller</t>
        </is>
      </c>
      <c r="G14" s="10" t="inlineStr">
        <is>
          <t>CH_01</t>
        </is>
      </c>
      <c r="H14" s="10" t="n">
        <v>1</v>
      </c>
      <c r="I14" s="10" t="n">
        <v>2</v>
      </c>
      <c r="J14" s="10" t="inlineStr">
        <is>
          <t>Valid model input table preparation</t>
        </is>
      </c>
      <c r="K14" s="17" t="n">
        <v>46179.65694444445</v>
      </c>
      <c r="L14" s="17" t="n">
        <v>46179.68472222222</v>
      </c>
      <c r="M14" s="12" t="n">
        <v>0</v>
      </c>
      <c r="N14" s="14">
        <f>IF(OR(K14="",L14=""),"",ROUND((L14-K14)*1440-N(M14),1))</f>
        <v/>
      </c>
      <c r="O14" s="17" t="n"/>
      <c r="P14" s="17" t="n"/>
      <c r="Q14" s="14">
        <f>IF(OR(O14="",P14=""),"",ROUND((P14-O14)*1440,1))</f>
        <v/>
      </c>
      <c r="R14" s="12" t="n"/>
      <c r="S14" s="12" t="inlineStr">
        <is>
          <t>Complete</t>
        </is>
      </c>
      <c r="T14" s="12" t="n"/>
      <c r="U14" s="12" t="n"/>
    </row>
    <row r="15">
      <c r="A15" s="10" t="inlineStr">
        <is>
          <t>OBS-011</t>
        </is>
      </c>
      <c r="B15" s="16" t="n">
        <v>46179</v>
      </c>
      <c r="C15" s="12" t="inlineStr">
        <is>
          <t>OP-001</t>
        </is>
      </c>
      <c r="D15" s="12" t="inlineStr">
        <is>
          <t>OBS-001</t>
        </is>
      </c>
      <c r="E15" s="10" t="inlineStr">
        <is>
          <t>Manual</t>
        </is>
      </c>
      <c r="F15" s="10" t="inlineStr">
        <is>
          <t>Chiller</t>
        </is>
      </c>
      <c r="G15" s="10" t="inlineStr">
        <is>
          <t>CH_01</t>
        </is>
      </c>
      <c r="H15" s="10" t="n">
        <v>1</v>
      </c>
      <c r="I15" s="10" t="n">
        <v>3</v>
      </c>
      <c r="J15" s="10" t="inlineStr">
        <is>
          <t>Modelica/FMU candidate setup</t>
        </is>
      </c>
      <c r="K15" s="17" t="n">
        <v>46179.69166666667</v>
      </c>
      <c r="L15" s="17" t="n">
        <v>46179.72708333333</v>
      </c>
      <c r="M15" s="12" t="n">
        <v>6</v>
      </c>
      <c r="N15" s="14">
        <f>IF(OR(K15="",L15=""),"",ROUND((L15-K15)*1440-N(M15),1))</f>
        <v/>
      </c>
      <c r="O15" s="17" t="n"/>
      <c r="P15" s="17" t="n"/>
      <c r="Q15" s="14">
        <f>IF(OR(O15="",P15=""),"",ROUND((P15-O15)*1440,1))</f>
        <v/>
      </c>
      <c r="R15" s="12" t="n"/>
      <c r="S15" s="12" t="inlineStr">
        <is>
          <t>Complete</t>
        </is>
      </c>
      <c r="T15" s="12" t="n"/>
      <c r="U15" s="12" t="n"/>
    </row>
    <row r="16">
      <c r="A16" s="10" t="inlineStr">
        <is>
          <t>OBS-012</t>
        </is>
      </c>
      <c r="B16" s="16" t="n">
        <v>46181</v>
      </c>
      <c r="C16" s="12" t="inlineStr">
        <is>
          <t>OP-001</t>
        </is>
      </c>
      <c r="D16" s="12" t="inlineStr">
        <is>
          <t>OBS-001</t>
        </is>
      </c>
      <c r="E16" s="10" t="inlineStr">
        <is>
          <t>Manual</t>
        </is>
      </c>
      <c r="F16" s="10" t="inlineStr">
        <is>
          <t>Chiller</t>
        </is>
      </c>
      <c r="G16" s="10" t="inlineStr">
        <is>
          <t>CH_01</t>
        </is>
      </c>
      <c r="H16" s="10" t="n">
        <v>1</v>
      </c>
      <c r="I16" s="10" t="n">
        <v>4</v>
      </c>
      <c r="J16" s="10" t="inlineStr">
        <is>
          <t>FMU parameter search</t>
        </is>
      </c>
      <c r="K16" s="17" t="n">
        <v>46181.35208333333</v>
      </c>
      <c r="L16" s="17" t="n">
        <v>46181.42916666667</v>
      </c>
      <c r="M16" s="12" t="n">
        <v>11</v>
      </c>
      <c r="N16" s="14">
        <f>IF(OR(K16="",L16=""),"",ROUND((L16-K16)*1440-N(M16),1))</f>
        <v/>
      </c>
      <c r="O16" s="17" t="n"/>
      <c r="P16" s="17" t="n"/>
      <c r="Q16" s="14">
        <f>IF(OR(O16="",P16=""),"",ROUND((P16-O16)*1440,1))</f>
        <v/>
      </c>
      <c r="R16" s="12" t="n"/>
      <c r="S16" s="12" t="inlineStr">
        <is>
          <t>Complete</t>
        </is>
      </c>
      <c r="T16" s="12" t="n"/>
      <c r="U16" s="12" t="n"/>
    </row>
    <row r="17">
      <c r="A17" s="10" t="inlineStr">
        <is>
          <t>OBS-013</t>
        </is>
      </c>
      <c r="B17" s="16" t="n">
        <v>46181</v>
      </c>
      <c r="C17" s="12" t="inlineStr">
        <is>
          <t>OP-001</t>
        </is>
      </c>
      <c r="D17" s="12" t="inlineStr">
        <is>
          <t>OBS-001</t>
        </is>
      </c>
      <c r="E17" s="10" t="inlineStr">
        <is>
          <t>Manual</t>
        </is>
      </c>
      <c r="F17" s="10" t="inlineStr">
        <is>
          <t>Chiller</t>
        </is>
      </c>
      <c r="G17" s="10" t="inlineStr">
        <is>
          <t>CH_01</t>
        </is>
      </c>
      <c r="H17" s="10" t="n">
        <v>1</v>
      </c>
      <c r="I17" s="10" t="n">
        <v>5</v>
      </c>
      <c r="J17" s="10" t="inlineStr">
        <is>
          <t>Full-period refinement and validation</t>
        </is>
      </c>
      <c r="K17" s="17" t="n">
        <v>46181.43680555555</v>
      </c>
      <c r="L17" s="17" t="n">
        <v>46181.48819444444</v>
      </c>
      <c r="M17" s="12" t="n">
        <v>4</v>
      </c>
      <c r="N17" s="14">
        <f>IF(OR(K17="",L17=""),"",ROUND((L17-K17)*1440-N(M17),1))</f>
        <v/>
      </c>
      <c r="O17" s="17" t="n"/>
      <c r="P17" s="17" t="n"/>
      <c r="Q17" s="14">
        <f>IF(OR(O17="",P17=""),"",ROUND((P17-O17)*1440,1))</f>
        <v/>
      </c>
      <c r="R17" s="12" t="n"/>
      <c r="S17" s="12" t="inlineStr">
        <is>
          <t>Complete</t>
        </is>
      </c>
      <c r="T17" s="12" t="n"/>
      <c r="U17" s="12" t="n"/>
    </row>
    <row r="18">
      <c r="A18" s="10" t="inlineStr">
        <is>
          <t>OBS-014</t>
        </is>
      </c>
      <c r="B18" s="16" t="n">
        <v>46181</v>
      </c>
      <c r="C18" s="12" t="inlineStr">
        <is>
          <t>OP-001</t>
        </is>
      </c>
      <c r="D18" s="12" t="inlineStr">
        <is>
          <t>OBS-001</t>
        </is>
      </c>
      <c r="E18" s="10" t="inlineStr">
        <is>
          <t>Manual</t>
        </is>
      </c>
      <c r="F18" s="10" t="inlineStr">
        <is>
          <t>Chiller</t>
        </is>
      </c>
      <c r="G18" s="10" t="inlineStr">
        <is>
          <t>CH_01</t>
        </is>
      </c>
      <c r="H18" s="10" t="n">
        <v>1</v>
      </c>
      <c r="I18" s="10" t="n">
        <v>6</v>
      </c>
      <c r="J18" s="10" t="inlineStr">
        <is>
          <t>Paper tables and figures</t>
        </is>
      </c>
      <c r="K18" s="17" t="n">
        <v>46181.56666666667</v>
      </c>
      <c r="L18" s="17" t="n">
        <v>46181.5875</v>
      </c>
      <c r="M18" s="12" t="n">
        <v>0</v>
      </c>
      <c r="N18" s="14">
        <f>IF(OR(K18="",L18=""),"",ROUND((L18-K18)*1440-N(M18),1))</f>
        <v/>
      </c>
      <c r="O18" s="17" t="n"/>
      <c r="P18" s="17" t="n"/>
      <c r="Q18" s="14">
        <f>IF(OR(O18="",P18=""),"",ROUND((P18-O18)*1440,1))</f>
        <v/>
      </c>
      <c r="R18" s="12" t="n"/>
      <c r="S18" s="12" t="inlineStr">
        <is>
          <t>Complete</t>
        </is>
      </c>
      <c r="T18" s="12" t="n"/>
      <c r="U18" s="12" t="n"/>
    </row>
    <row r="19">
      <c r="A19" s="10" t="inlineStr">
        <is>
          <t>OBS-015</t>
        </is>
      </c>
      <c r="B19" s="16" t="n">
        <v>46181</v>
      </c>
      <c r="C19" s="12" t="inlineStr">
        <is>
          <t>OP-001</t>
        </is>
      </c>
      <c r="D19" s="12" t="inlineStr">
        <is>
          <t>OBS-001</t>
        </is>
      </c>
      <c r="E19" s="10" t="inlineStr">
        <is>
          <t>Manual</t>
        </is>
      </c>
      <c r="F19" s="10" t="inlineStr">
        <is>
          <t>Chiller</t>
        </is>
      </c>
      <c r="G19" s="10" t="inlineStr">
        <is>
          <t>CH_01</t>
        </is>
      </c>
      <c r="H19" s="10" t="n">
        <v>1</v>
      </c>
      <c r="I19" s="15" t="n">
        <v>7</v>
      </c>
      <c r="J19" s="15" t="inlineStr">
        <is>
          <t>Observability and evidence-grade review</t>
        </is>
      </c>
      <c r="K19" s="17" t="n">
        <v>46181.58958333333</v>
      </c>
      <c r="L19" s="17" t="n">
        <v>46181.62083333333</v>
      </c>
      <c r="M19" s="12" t="n">
        <v>0</v>
      </c>
      <c r="N19" s="14">
        <f>IF(OR(K19="",L19=""),"",ROUND((L19-K19)*1440-N(M19),1))</f>
        <v/>
      </c>
      <c r="O19" s="17" t="n"/>
      <c r="P19" s="17" t="n"/>
      <c r="Q19" s="14">
        <f>IF(OR(O19="",P19=""),"",ROUND((P19-O19)*1440,1))</f>
        <v/>
      </c>
      <c r="R19" s="12" t="n"/>
      <c r="S19" s="12" t="inlineStr">
        <is>
          <t>Complete</t>
        </is>
      </c>
      <c r="T19" s="12" t="n"/>
      <c r="U19" s="12" t="n"/>
    </row>
    <row r="20">
      <c r="A20" s="10" t="inlineStr">
        <is>
          <t>OBS-016</t>
        </is>
      </c>
      <c r="B20" s="16" t="n">
        <v>46181</v>
      </c>
      <c r="C20" s="12" t="inlineStr">
        <is>
          <t>OP-001</t>
        </is>
      </c>
      <c r="D20" s="12" t="inlineStr">
        <is>
          <t>OBS-001</t>
        </is>
      </c>
      <c r="E20" s="10" t="inlineStr">
        <is>
          <t>Manual</t>
        </is>
      </c>
      <c r="F20" s="10" t="inlineStr">
        <is>
          <t>Chiller</t>
        </is>
      </c>
      <c r="G20" s="10" t="inlineStr">
        <is>
          <t>CH_01</t>
        </is>
      </c>
      <c r="H20" s="10" t="n">
        <v>1</v>
      </c>
      <c r="I20" s="15" t="n">
        <v>8</v>
      </c>
      <c r="J20" s="15" t="inlineStr">
        <is>
          <t>Temporal split definition and audit</t>
        </is>
      </c>
      <c r="K20" s="17" t="n">
        <v>46181.62430555555</v>
      </c>
      <c r="L20" s="17" t="n">
        <v>46181.64861111111</v>
      </c>
      <c r="M20" s="12" t="n">
        <v>0</v>
      </c>
      <c r="N20" s="14">
        <f>IF(OR(K20="",L20=""),"",ROUND((L20-K20)*1440-N(M20),1))</f>
        <v/>
      </c>
      <c r="O20" s="17" t="n"/>
      <c r="P20" s="17" t="n"/>
      <c r="Q20" s="14">
        <f>IF(OR(O20="",P20=""),"",ROUND((P20-O20)*1440,1))</f>
        <v/>
      </c>
      <c r="R20" s="12" t="n"/>
      <c r="S20" s="12" t="inlineStr">
        <is>
          <t>Complete</t>
        </is>
      </c>
      <c r="T20" s="12" t="n"/>
      <c r="U20" s="12" t="n"/>
    </row>
    <row r="21">
      <c r="A21" s="10" t="inlineStr">
        <is>
          <t>OBS-017</t>
        </is>
      </c>
      <c r="B21" s="16" t="n">
        <v>46181</v>
      </c>
      <c r="C21" s="12" t="inlineStr">
        <is>
          <t>OP-001</t>
        </is>
      </c>
      <c r="D21" s="12" t="inlineStr">
        <is>
          <t>OBS-001</t>
        </is>
      </c>
      <c r="E21" s="10" t="inlineStr">
        <is>
          <t>Manual</t>
        </is>
      </c>
      <c r="F21" s="10" t="inlineStr">
        <is>
          <t>Chiller</t>
        </is>
      </c>
      <c r="G21" s="10" t="inlineStr">
        <is>
          <t>CH_03</t>
        </is>
      </c>
      <c r="H21" s="10" t="n">
        <v>2</v>
      </c>
      <c r="I21" s="10" t="n">
        <v>1</v>
      </c>
      <c r="J21" s="10" t="inlineStr">
        <is>
          <t>Data loading and semantic mapping</t>
        </is>
      </c>
      <c r="K21" s="17" t="n">
        <v>46181.65069444444</v>
      </c>
      <c r="L21" s="17" t="n">
        <v>46181.66736111111</v>
      </c>
      <c r="M21" s="12" t="n">
        <v>0</v>
      </c>
      <c r="N21" s="14">
        <f>IF(OR(K21="",L21=""),"",ROUND((L21-K21)*1440-N(M21),1))</f>
        <v/>
      </c>
      <c r="O21" s="17" t="n"/>
      <c r="P21" s="17" t="n"/>
      <c r="Q21" s="14">
        <f>IF(OR(O21="",P21=""),"",ROUND((P21-O21)*1440,1))</f>
        <v/>
      </c>
      <c r="R21" s="12" t="n"/>
      <c r="S21" s="12" t="inlineStr">
        <is>
          <t>Complete</t>
        </is>
      </c>
      <c r="T21" s="12" t="n"/>
      <c r="U21" s="12" t="n"/>
    </row>
    <row r="22">
      <c r="A22" s="10" t="inlineStr">
        <is>
          <t>OBS-018</t>
        </is>
      </c>
      <c r="B22" s="16" t="n">
        <v>46181</v>
      </c>
      <c r="C22" s="12" t="inlineStr">
        <is>
          <t>OP-001</t>
        </is>
      </c>
      <c r="D22" s="12" t="inlineStr">
        <is>
          <t>OBS-001</t>
        </is>
      </c>
      <c r="E22" s="10" t="inlineStr">
        <is>
          <t>Manual</t>
        </is>
      </c>
      <c r="F22" s="10" t="inlineStr">
        <is>
          <t>Chiller</t>
        </is>
      </c>
      <c r="G22" s="10" t="inlineStr">
        <is>
          <t>CH_03</t>
        </is>
      </c>
      <c r="H22" s="10" t="n">
        <v>2</v>
      </c>
      <c r="I22" s="10" t="n">
        <v>2</v>
      </c>
      <c r="J22" s="10" t="inlineStr">
        <is>
          <t>Valid model input table preparation</t>
        </is>
      </c>
      <c r="K22" s="17" t="n">
        <v>46181.67083333333</v>
      </c>
      <c r="L22" s="17" t="n">
        <v>46181.69305555556</v>
      </c>
      <c r="M22" s="12" t="n">
        <v>0</v>
      </c>
      <c r="N22" s="14">
        <f>IF(OR(K22="",L22=""),"",ROUND((L22-K22)*1440-N(M22),1))</f>
        <v/>
      </c>
      <c r="O22" s="17" t="n"/>
      <c r="P22" s="17" t="n"/>
      <c r="Q22" s="14">
        <f>IF(OR(O22="",P22=""),"",ROUND((P22-O22)*1440,1))</f>
        <v/>
      </c>
      <c r="R22" s="12" t="n"/>
      <c r="S22" s="12" t="inlineStr">
        <is>
          <t>Complete</t>
        </is>
      </c>
      <c r="T22" s="12" t="n"/>
      <c r="U22" s="12" t="n"/>
    </row>
    <row r="23">
      <c r="A23" s="10" t="inlineStr">
        <is>
          <t>OBS-019</t>
        </is>
      </c>
      <c r="B23" s="16" t="n">
        <v>46181</v>
      </c>
      <c r="C23" s="12" t="inlineStr">
        <is>
          <t>OP-001</t>
        </is>
      </c>
      <c r="D23" s="12" t="inlineStr">
        <is>
          <t>OBS-001</t>
        </is>
      </c>
      <c r="E23" s="10" t="inlineStr">
        <is>
          <t>Manual</t>
        </is>
      </c>
      <c r="F23" s="10" t="inlineStr">
        <is>
          <t>Chiller</t>
        </is>
      </c>
      <c r="G23" s="10" t="inlineStr">
        <is>
          <t>CH_03</t>
        </is>
      </c>
      <c r="H23" s="10" t="n">
        <v>2</v>
      </c>
      <c r="I23" s="10" t="n">
        <v>3</v>
      </c>
      <c r="J23" s="10" t="inlineStr">
        <is>
          <t>Modelica/FMU candidate setup</t>
        </is>
      </c>
      <c r="K23" s="17" t="n">
        <v>46181.7</v>
      </c>
      <c r="L23" s="17" t="n">
        <v>46181.72430555556</v>
      </c>
      <c r="M23" s="12" t="n">
        <v>0</v>
      </c>
      <c r="N23" s="14">
        <f>IF(OR(K23="",L23=""),"",ROUND((L23-K23)*1440-N(M23),1))</f>
        <v/>
      </c>
      <c r="O23" s="17" t="n"/>
      <c r="P23" s="17" t="n"/>
      <c r="Q23" s="14">
        <f>IF(OR(O23="",P23=""),"",ROUND((P23-O23)*1440,1))</f>
        <v/>
      </c>
      <c r="R23" s="12" t="n"/>
      <c r="S23" s="12" t="inlineStr">
        <is>
          <t>Complete</t>
        </is>
      </c>
      <c r="T23" s="12" t="n"/>
      <c r="U23" s="12" t="n"/>
    </row>
    <row r="24">
      <c r="A24" s="10" t="inlineStr">
        <is>
          <t>OBS-020</t>
        </is>
      </c>
      <c r="B24" s="16" t="n">
        <v>46182</v>
      </c>
      <c r="C24" s="12" t="inlineStr">
        <is>
          <t>OP-001</t>
        </is>
      </c>
      <c r="D24" s="12" t="inlineStr">
        <is>
          <t>OBS-001</t>
        </is>
      </c>
      <c r="E24" s="10" t="inlineStr">
        <is>
          <t>Manual</t>
        </is>
      </c>
      <c r="F24" s="10" t="inlineStr">
        <is>
          <t>Chiller</t>
        </is>
      </c>
      <c r="G24" s="10" t="inlineStr">
        <is>
          <t>CH_03</t>
        </is>
      </c>
      <c r="H24" s="10" t="n">
        <v>2</v>
      </c>
      <c r="I24" s="10" t="n">
        <v>4</v>
      </c>
      <c r="J24" s="10" t="inlineStr">
        <is>
          <t>FMU parameter search</t>
        </is>
      </c>
      <c r="K24" s="17" t="n">
        <v>46182.36041666667</v>
      </c>
      <c r="L24" s="17" t="n">
        <v>46182.42083333333</v>
      </c>
      <c r="M24" s="12" t="n">
        <v>7</v>
      </c>
      <c r="N24" s="14">
        <f>IF(OR(K24="",L24=""),"",ROUND((L24-K24)*1440-N(M24),1))</f>
        <v/>
      </c>
      <c r="O24" s="17" t="n"/>
      <c r="P24" s="17" t="n"/>
      <c r="Q24" s="14">
        <f>IF(OR(O24="",P24=""),"",ROUND((P24-O24)*1440,1))</f>
        <v/>
      </c>
      <c r="R24" s="12" t="n"/>
      <c r="S24" s="12" t="inlineStr">
        <is>
          <t>Complete</t>
        </is>
      </c>
      <c r="T24" s="12" t="n"/>
      <c r="U24" s="12" t="n"/>
    </row>
    <row r="25">
      <c r="A25" s="10" t="inlineStr">
        <is>
          <t>OBS-021</t>
        </is>
      </c>
      <c r="B25" s="16" t="n">
        <v>46182</v>
      </c>
      <c r="C25" s="12" t="inlineStr">
        <is>
          <t>OP-001</t>
        </is>
      </c>
      <c r="D25" s="12" t="inlineStr">
        <is>
          <t>OBS-001</t>
        </is>
      </c>
      <c r="E25" s="10" t="inlineStr">
        <is>
          <t>Manual</t>
        </is>
      </c>
      <c r="F25" s="10" t="inlineStr">
        <is>
          <t>Chiller</t>
        </is>
      </c>
      <c r="G25" s="10" t="inlineStr">
        <is>
          <t>CH_03</t>
        </is>
      </c>
      <c r="H25" s="10" t="n">
        <v>2</v>
      </c>
      <c r="I25" s="10" t="n">
        <v>5</v>
      </c>
      <c r="J25" s="10" t="inlineStr">
        <is>
          <t>Full-period refinement and validation</t>
        </is>
      </c>
      <c r="K25" s="17" t="n">
        <v>46182.42847222222</v>
      </c>
      <c r="L25" s="17" t="n">
        <v>46182.47013888889</v>
      </c>
      <c r="M25" s="12" t="n">
        <v>5</v>
      </c>
      <c r="N25" s="14">
        <f>IF(OR(K25="",L25=""),"",ROUND((L25-K25)*1440-N(M25),1))</f>
        <v/>
      </c>
      <c r="O25" s="17" t="n"/>
      <c r="P25" s="17" t="n"/>
      <c r="Q25" s="14">
        <f>IF(OR(O25="",P25=""),"",ROUND((P25-O25)*1440,1))</f>
        <v/>
      </c>
      <c r="R25" s="12" t="n"/>
      <c r="S25" s="12" t="inlineStr">
        <is>
          <t>Complete</t>
        </is>
      </c>
      <c r="T25" s="12" t="n"/>
      <c r="U25" s="12" t="n"/>
    </row>
    <row r="26">
      <c r="A26" s="10" t="inlineStr">
        <is>
          <t>OBS-022</t>
        </is>
      </c>
      <c r="B26" s="16" t="n">
        <v>46182</v>
      </c>
      <c r="C26" s="12" t="inlineStr">
        <is>
          <t>OP-001</t>
        </is>
      </c>
      <c r="D26" s="12" t="inlineStr">
        <is>
          <t>OBS-001</t>
        </is>
      </c>
      <c r="E26" s="10" t="inlineStr">
        <is>
          <t>Manual</t>
        </is>
      </c>
      <c r="F26" s="10" t="inlineStr">
        <is>
          <t>Chiller</t>
        </is>
      </c>
      <c r="G26" s="10" t="inlineStr">
        <is>
          <t>CH_03</t>
        </is>
      </c>
      <c r="H26" s="10" t="n">
        <v>2</v>
      </c>
      <c r="I26" s="10" t="n">
        <v>6</v>
      </c>
      <c r="J26" s="10" t="inlineStr">
        <is>
          <t>Paper tables and figures</t>
        </is>
      </c>
      <c r="K26" s="17" t="n">
        <v>46182.47638888889</v>
      </c>
      <c r="L26" s="17" t="n">
        <v>46182.49305555555</v>
      </c>
      <c r="M26" s="12" t="n">
        <v>0</v>
      </c>
      <c r="N26" s="14">
        <f>IF(OR(K26="",L26=""),"",ROUND((L26-K26)*1440-N(M26),1))</f>
        <v/>
      </c>
      <c r="O26" s="17" t="n"/>
      <c r="P26" s="17" t="n"/>
      <c r="Q26" s="14">
        <f>IF(OR(O26="",P26=""),"",ROUND((P26-O26)*1440,1))</f>
        <v/>
      </c>
      <c r="R26" s="12" t="n"/>
      <c r="S26" s="12" t="inlineStr">
        <is>
          <t>Complete</t>
        </is>
      </c>
      <c r="T26" s="12" t="n"/>
      <c r="U26" s="12" t="n"/>
    </row>
    <row r="27">
      <c r="A27" s="10" t="inlineStr">
        <is>
          <t>OBS-023</t>
        </is>
      </c>
      <c r="B27" s="16" t="n">
        <v>46182</v>
      </c>
      <c r="C27" s="12" t="inlineStr">
        <is>
          <t>OP-001</t>
        </is>
      </c>
      <c r="D27" s="12" t="inlineStr">
        <is>
          <t>OBS-001</t>
        </is>
      </c>
      <c r="E27" s="10" t="inlineStr">
        <is>
          <t>Manual</t>
        </is>
      </c>
      <c r="F27" s="10" t="inlineStr">
        <is>
          <t>Chiller</t>
        </is>
      </c>
      <c r="G27" s="10" t="inlineStr">
        <is>
          <t>CH_03</t>
        </is>
      </c>
      <c r="H27" s="10" t="n">
        <v>2</v>
      </c>
      <c r="I27" s="15" t="n">
        <v>7</v>
      </c>
      <c r="J27" s="15" t="inlineStr">
        <is>
          <t>Observability and evidence-grade review</t>
        </is>
      </c>
      <c r="K27" s="17" t="n">
        <v>46182.56666666667</v>
      </c>
      <c r="L27" s="17" t="n">
        <v>46182.59097222222</v>
      </c>
      <c r="M27" s="12" t="n">
        <v>0</v>
      </c>
      <c r="N27" s="14">
        <f>IF(OR(K27="",L27=""),"",ROUND((L27-K27)*1440-N(M27),1))</f>
        <v/>
      </c>
      <c r="O27" s="17" t="n"/>
      <c r="P27" s="17" t="n"/>
      <c r="Q27" s="14">
        <f>IF(OR(O27="",P27=""),"",ROUND((P27-O27)*1440,1))</f>
        <v/>
      </c>
      <c r="R27" s="12" t="n"/>
      <c r="S27" s="12" t="inlineStr">
        <is>
          <t>Complete</t>
        </is>
      </c>
      <c r="T27" s="12" t="n"/>
      <c r="U27" s="12" t="n"/>
    </row>
    <row r="28">
      <c r="A28" s="10" t="inlineStr">
        <is>
          <t>OBS-024</t>
        </is>
      </c>
      <c r="B28" s="16" t="n">
        <v>46182</v>
      </c>
      <c r="C28" s="12" t="inlineStr">
        <is>
          <t>OP-001</t>
        </is>
      </c>
      <c r="D28" s="12" t="inlineStr">
        <is>
          <t>OBS-001</t>
        </is>
      </c>
      <c r="E28" s="10" t="inlineStr">
        <is>
          <t>Manual</t>
        </is>
      </c>
      <c r="F28" s="10" t="inlineStr">
        <is>
          <t>Chiller</t>
        </is>
      </c>
      <c r="G28" s="10" t="inlineStr">
        <is>
          <t>CH_03</t>
        </is>
      </c>
      <c r="H28" s="10" t="n">
        <v>2</v>
      </c>
      <c r="I28" s="15" t="n">
        <v>8</v>
      </c>
      <c r="J28" s="15" t="inlineStr">
        <is>
          <t>Temporal split definition and audit</t>
        </is>
      </c>
      <c r="K28" s="17" t="n">
        <v>46182.59583333333</v>
      </c>
      <c r="L28" s="17" t="n">
        <v>46182.61527777778</v>
      </c>
      <c r="M28" s="12" t="n">
        <v>0</v>
      </c>
      <c r="N28" s="14">
        <f>IF(OR(K28="",L28=""),"",ROUND((L28-K28)*1440-N(M28),1))</f>
        <v/>
      </c>
      <c r="O28" s="17" t="n"/>
      <c r="P28" s="17" t="n"/>
      <c r="Q28" s="14">
        <f>IF(OR(O28="",P28=""),"",ROUND((P28-O28)*1440,1))</f>
        <v/>
      </c>
      <c r="R28" s="12" t="n"/>
      <c r="S28" s="12" t="inlineStr">
        <is>
          <t>Complete</t>
        </is>
      </c>
      <c r="T28" s="12" t="n"/>
      <c r="U28" s="12" t="n"/>
    </row>
    <row r="29">
      <c r="A29" s="10" t="inlineStr">
        <is>
          <t>OBS-025</t>
        </is>
      </c>
      <c r="B29" s="16" t="n">
        <v>46182</v>
      </c>
      <c r="C29" s="12" t="inlineStr">
        <is>
          <t>OP-001</t>
        </is>
      </c>
      <c r="D29" s="12" t="inlineStr">
        <is>
          <t>OBS-001</t>
        </is>
      </c>
      <c r="E29" s="10" t="inlineStr">
        <is>
          <t>Manual</t>
        </is>
      </c>
      <c r="F29" s="10" t="inlineStr">
        <is>
          <t>Chiller</t>
        </is>
      </c>
      <c r="G29" s="10" t="inlineStr">
        <is>
          <t>CH_05</t>
        </is>
      </c>
      <c r="H29" s="10" t="n">
        <v>3</v>
      </c>
      <c r="I29" s="10" t="n">
        <v>1</v>
      </c>
      <c r="J29" s="10" t="inlineStr">
        <is>
          <t>Data loading and semantic mapping</t>
        </is>
      </c>
      <c r="K29" s="17" t="n">
        <v>46182.62152777778</v>
      </c>
      <c r="L29" s="17" t="n">
        <v>46182.63888888889</v>
      </c>
      <c r="M29" s="12" t="n">
        <v>0</v>
      </c>
      <c r="N29" s="14">
        <f>IF(OR(K29="",L29=""),"",ROUND((L29-K29)*1440-N(M29),1))</f>
        <v/>
      </c>
      <c r="O29" s="17" t="n"/>
      <c r="P29" s="17" t="n"/>
      <c r="Q29" s="14">
        <f>IF(OR(O29="",P29=""),"",ROUND((P29-O29)*1440,1))</f>
        <v/>
      </c>
      <c r="R29" s="12" t="n"/>
      <c r="S29" s="12" t="inlineStr">
        <is>
          <t>Complete</t>
        </is>
      </c>
      <c r="T29" s="12" t="n"/>
      <c r="U29" s="12" t="n"/>
    </row>
    <row r="30">
      <c r="A30" s="10" t="inlineStr">
        <is>
          <t>OBS-026</t>
        </is>
      </c>
      <c r="B30" s="16" t="n">
        <v>46182</v>
      </c>
      <c r="C30" s="12" t="inlineStr">
        <is>
          <t>OP-001</t>
        </is>
      </c>
      <c r="D30" s="12" t="inlineStr">
        <is>
          <t>OBS-001</t>
        </is>
      </c>
      <c r="E30" s="10" t="inlineStr">
        <is>
          <t>Manual</t>
        </is>
      </c>
      <c r="F30" s="10" t="inlineStr">
        <is>
          <t>Chiller</t>
        </is>
      </c>
      <c r="G30" s="10" t="inlineStr">
        <is>
          <t>CH_05</t>
        </is>
      </c>
      <c r="H30" s="10" t="n">
        <v>3</v>
      </c>
      <c r="I30" s="10" t="n">
        <v>2</v>
      </c>
      <c r="J30" s="10" t="inlineStr">
        <is>
          <t>Valid model input table preparation</t>
        </is>
      </c>
      <c r="K30" s="17" t="n">
        <v>46182.64513888889</v>
      </c>
      <c r="L30" s="17" t="n">
        <v>46182.66597222222</v>
      </c>
      <c r="M30" s="12" t="n">
        <v>0</v>
      </c>
      <c r="N30" s="14">
        <f>IF(OR(K30="",L30=""),"",ROUND((L30-K30)*1440-N(M30),1))</f>
        <v/>
      </c>
      <c r="O30" s="17" t="n"/>
      <c r="P30" s="17" t="n"/>
      <c r="Q30" s="14">
        <f>IF(OR(O30="",P30=""),"",ROUND((P30-O30)*1440,1))</f>
        <v/>
      </c>
      <c r="R30" s="12" t="n"/>
      <c r="S30" s="12" t="inlineStr">
        <is>
          <t>Complete</t>
        </is>
      </c>
      <c r="T30" s="12" t="n"/>
      <c r="U30" s="12" t="n"/>
    </row>
    <row r="31">
      <c r="A31" s="10" t="inlineStr">
        <is>
          <t>OBS-027</t>
        </is>
      </c>
      <c r="B31" s="16" t="n"/>
      <c r="C31" s="12" t="n"/>
      <c r="D31" s="12" t="n"/>
      <c r="E31" s="10" t="inlineStr">
        <is>
          <t>Manual</t>
        </is>
      </c>
      <c r="F31" s="10" t="inlineStr">
        <is>
          <t>Chiller</t>
        </is>
      </c>
      <c r="G31" s="10" t="inlineStr">
        <is>
          <t>CH_05</t>
        </is>
      </c>
      <c r="H31" s="10" t="n">
        <v>3</v>
      </c>
      <c r="I31" s="10" t="n">
        <v>3</v>
      </c>
      <c r="J31" s="10" t="inlineStr">
        <is>
          <t>Modelica/FMU candidate setup</t>
        </is>
      </c>
      <c r="K31" s="17" t="n"/>
      <c r="L31" s="17" t="n"/>
      <c r="M31" s="12" t="n">
        <v>0</v>
      </c>
      <c r="N31" s="14">
        <f>IF(OR(K31="",L31=""),"",ROUND((L31-K31)*1440-N(M31),1))</f>
        <v/>
      </c>
      <c r="O31" s="17" t="n"/>
      <c r="P31" s="17" t="n"/>
      <c r="Q31" s="14">
        <f>IF(OR(O31="",P31=""),"",ROUND((P31-O31)*1440,1))</f>
        <v/>
      </c>
      <c r="R31" s="12" t="n"/>
      <c r="S31" s="12" t="inlineStr">
        <is>
          <t>Not started</t>
        </is>
      </c>
      <c r="T31" s="12" t="n"/>
      <c r="U31" s="12" t="n"/>
    </row>
    <row r="32">
      <c r="A32" s="10" t="inlineStr">
        <is>
          <t>OBS-028</t>
        </is>
      </c>
      <c r="B32" s="16" t="n"/>
      <c r="C32" s="12" t="n"/>
      <c r="D32" s="12" t="n"/>
      <c r="E32" s="10" t="inlineStr">
        <is>
          <t>Manual</t>
        </is>
      </c>
      <c r="F32" s="10" t="inlineStr">
        <is>
          <t>Chiller</t>
        </is>
      </c>
      <c r="G32" s="10" t="inlineStr">
        <is>
          <t>CH_05</t>
        </is>
      </c>
      <c r="H32" s="10" t="n">
        <v>3</v>
      </c>
      <c r="I32" s="10" t="n">
        <v>4</v>
      </c>
      <c r="J32" s="10" t="inlineStr">
        <is>
          <t>FMU parameter search</t>
        </is>
      </c>
      <c r="K32" s="17" t="n"/>
      <c r="L32" s="17" t="n"/>
      <c r="M32" s="12" t="n">
        <v>0</v>
      </c>
      <c r="N32" s="14">
        <f>IF(OR(K32="",L32=""),"",ROUND((L32-K32)*1440-N(M32),1))</f>
        <v/>
      </c>
      <c r="O32" s="17" t="n"/>
      <c r="P32" s="17" t="n"/>
      <c r="Q32" s="14">
        <f>IF(OR(O32="",P32=""),"",ROUND((P32-O32)*1440,1))</f>
        <v/>
      </c>
      <c r="R32" s="12" t="n"/>
      <c r="S32" s="12" t="inlineStr">
        <is>
          <t>Not started</t>
        </is>
      </c>
      <c r="T32" s="12" t="n"/>
      <c r="U32" s="12" t="n"/>
    </row>
    <row r="33">
      <c r="A33" s="10" t="inlineStr">
        <is>
          <t>OBS-029</t>
        </is>
      </c>
      <c r="B33" s="16" t="n"/>
      <c r="C33" s="12" t="n"/>
      <c r="D33" s="12" t="n"/>
      <c r="E33" s="10" t="inlineStr">
        <is>
          <t>Manual</t>
        </is>
      </c>
      <c r="F33" s="10" t="inlineStr">
        <is>
          <t>Chiller</t>
        </is>
      </c>
      <c r="G33" s="10" t="inlineStr">
        <is>
          <t>CH_05</t>
        </is>
      </c>
      <c r="H33" s="10" t="n">
        <v>3</v>
      </c>
      <c r="I33" s="10" t="n">
        <v>5</v>
      </c>
      <c r="J33" s="10" t="inlineStr">
        <is>
          <t>Full-period refinement and validation</t>
        </is>
      </c>
      <c r="K33" s="17" t="n"/>
      <c r="L33" s="17" t="n"/>
      <c r="M33" s="12" t="n">
        <v>0</v>
      </c>
      <c r="N33" s="14">
        <f>IF(OR(K33="",L33=""),"",ROUND((L33-K33)*1440-N(M33),1))</f>
        <v/>
      </c>
      <c r="O33" s="17" t="n"/>
      <c r="P33" s="17" t="n"/>
      <c r="Q33" s="14">
        <f>IF(OR(O33="",P33=""),"",ROUND((P33-O33)*1440,1))</f>
        <v/>
      </c>
      <c r="R33" s="12" t="n"/>
      <c r="S33" s="12" t="inlineStr">
        <is>
          <t>Not started</t>
        </is>
      </c>
      <c r="T33" s="12" t="n"/>
      <c r="U33" s="12" t="n"/>
    </row>
    <row r="34">
      <c r="A34" s="10" t="inlineStr">
        <is>
          <t>OBS-030</t>
        </is>
      </c>
      <c r="B34" s="16" t="n"/>
      <c r="C34" s="12" t="n"/>
      <c r="D34" s="12" t="n"/>
      <c r="E34" s="10" t="inlineStr">
        <is>
          <t>Manual</t>
        </is>
      </c>
      <c r="F34" s="10" t="inlineStr">
        <is>
          <t>Chiller</t>
        </is>
      </c>
      <c r="G34" s="10" t="inlineStr">
        <is>
          <t>CH_05</t>
        </is>
      </c>
      <c r="H34" s="10" t="n">
        <v>3</v>
      </c>
      <c r="I34" s="10" t="n">
        <v>6</v>
      </c>
      <c r="J34" s="10" t="inlineStr">
        <is>
          <t>Paper tables and figures</t>
        </is>
      </c>
      <c r="K34" s="17" t="n"/>
      <c r="L34" s="17" t="n"/>
      <c r="M34" s="12" t="n">
        <v>0</v>
      </c>
      <c r="N34" s="14">
        <f>IF(OR(K34="",L34=""),"",ROUND((L34-K34)*1440-N(M34),1))</f>
        <v/>
      </c>
      <c r="O34" s="17" t="n"/>
      <c r="P34" s="17" t="n"/>
      <c r="Q34" s="14">
        <f>IF(OR(O34="",P34=""),"",ROUND((P34-O34)*1440,1))</f>
        <v/>
      </c>
      <c r="R34" s="12" t="n"/>
      <c r="S34" s="12" t="inlineStr">
        <is>
          <t>Not started</t>
        </is>
      </c>
      <c r="T34" s="12" t="n"/>
      <c r="U34" s="12" t="n"/>
    </row>
    <row r="35">
      <c r="A35" s="10" t="inlineStr">
        <is>
          <t>OBS-031</t>
        </is>
      </c>
      <c r="B35" s="16" t="n">
        <v>46182</v>
      </c>
      <c r="C35" s="12" t="inlineStr">
        <is>
          <t>OP-001</t>
        </is>
      </c>
      <c r="D35" s="12" t="inlineStr">
        <is>
          <t>OBS-001</t>
        </is>
      </c>
      <c r="E35" s="10" t="inlineStr">
        <is>
          <t>Manual</t>
        </is>
      </c>
      <c r="F35" s="10" t="inlineStr">
        <is>
          <t>Chiller</t>
        </is>
      </c>
      <c r="G35" s="10" t="inlineStr">
        <is>
          <t>CH_05</t>
        </is>
      </c>
      <c r="H35" s="10" t="n">
        <v>3</v>
      </c>
      <c r="I35" s="15" t="n">
        <v>7</v>
      </c>
      <c r="J35" s="15" t="inlineStr">
        <is>
          <t>Observability and evidence-grade review</t>
        </is>
      </c>
      <c r="K35" s="17" t="n">
        <v>46182.67083333333</v>
      </c>
      <c r="L35" s="17" t="n">
        <v>46182.69861111111</v>
      </c>
      <c r="M35" s="12" t="n">
        <v>0</v>
      </c>
      <c r="N35" s="14">
        <f>IF(OR(K35="",L35=""),"",ROUND((L35-K35)*1440-N(M35),1))</f>
        <v/>
      </c>
      <c r="O35" s="17" t="n"/>
      <c r="P35" s="17" t="n"/>
      <c r="Q35" s="14">
        <f>IF(OR(O35="",P35=""),"",ROUND((P35-O35)*1440,1))</f>
        <v/>
      </c>
      <c r="R35" s="12" t="n"/>
      <c r="S35" s="12" t="inlineStr">
        <is>
          <t>Complete</t>
        </is>
      </c>
      <c r="T35" s="12" t="n"/>
      <c r="U35" s="12" t="n"/>
    </row>
    <row r="36">
      <c r="A36" s="10" t="inlineStr">
        <is>
          <t>OBS-032</t>
        </is>
      </c>
      <c r="B36" s="16" t="n">
        <v>46182</v>
      </c>
      <c r="C36" s="12" t="inlineStr">
        <is>
          <t>OP-001</t>
        </is>
      </c>
      <c r="D36" s="12" t="inlineStr">
        <is>
          <t>OBS-001</t>
        </is>
      </c>
      <c r="E36" s="10" t="inlineStr">
        <is>
          <t>Manual</t>
        </is>
      </c>
      <c r="F36" s="10" t="inlineStr">
        <is>
          <t>Chiller</t>
        </is>
      </c>
      <c r="G36" s="10" t="inlineStr">
        <is>
          <t>CH_05</t>
        </is>
      </c>
      <c r="H36" s="10" t="n">
        <v>3</v>
      </c>
      <c r="I36" s="15" t="n">
        <v>8</v>
      </c>
      <c r="J36" s="15" t="inlineStr">
        <is>
          <t>Temporal split definition and audit</t>
        </is>
      </c>
      <c r="K36" s="17" t="n">
        <v>46182.70069444444</v>
      </c>
      <c r="L36" s="17" t="n">
        <v>46182.71805555555</v>
      </c>
      <c r="M36" s="12" t="n">
        <v>0</v>
      </c>
      <c r="N36" s="14">
        <f>IF(OR(K36="",L36=""),"",ROUND((L36-K36)*1440-N(M36),1))</f>
        <v/>
      </c>
      <c r="O36" s="17" t="n"/>
      <c r="P36" s="17" t="n"/>
      <c r="Q36" s="14">
        <f>IF(OR(O36="",P36=""),"",ROUND((P36-O36)*1440,1))</f>
        <v/>
      </c>
      <c r="R36" s="12" t="n"/>
      <c r="S36" s="12" t="inlineStr">
        <is>
          <t>Blocked</t>
        </is>
      </c>
      <c r="T36" s="12" t="n"/>
      <c r="U36" s="12" t="n"/>
    </row>
    <row r="37">
      <c r="A37" s="10" t="inlineStr">
        <is>
          <t>OBS-033</t>
        </is>
      </c>
      <c r="B37" s="16" t="n"/>
      <c r="C37" s="12" t="n"/>
      <c r="D37" s="12" t="n"/>
      <c r="E37" s="10" t="inlineStr">
        <is>
          <t>Auto</t>
        </is>
      </c>
      <c r="F37" s="10" t="inlineStr">
        <is>
          <t>Chiller</t>
        </is>
      </c>
      <c r="G37" s="10" t="inlineStr">
        <is>
          <t>FAMILY_SETUP</t>
        </is>
      </c>
      <c r="H37" s="10" t="n">
        <v>0</v>
      </c>
      <c r="I37" s="10" t="n">
        <v>1</v>
      </c>
      <c r="J37" s="10" t="inlineStr">
        <is>
          <t>Data loading and semantic mapping</t>
        </is>
      </c>
      <c r="K37" s="17" t="n"/>
      <c r="L37" s="17" t="n"/>
      <c r="M37" s="12" t="n">
        <v>0</v>
      </c>
      <c r="N37" s="14">
        <f>IF(OR(K37="",L37=""),"",ROUND((L37-K37)*1440-N(M37),1))</f>
        <v/>
      </c>
      <c r="O37" s="17" t="n"/>
      <c r="P37" s="17" t="n"/>
      <c r="Q37" s="14">
        <f>IF(OR(O37="",P37=""),"",ROUND((P37-O37)*1440,1))</f>
        <v/>
      </c>
      <c r="R37" s="12" t="n"/>
      <c r="S37" s="12" t="inlineStr">
        <is>
          <t>Not started</t>
        </is>
      </c>
      <c r="T37" s="12" t="n"/>
      <c r="U37" s="12" t="n"/>
    </row>
    <row r="38">
      <c r="A38" s="10" t="inlineStr">
        <is>
          <t>OBS-034</t>
        </is>
      </c>
      <c r="B38" s="16" t="n"/>
      <c r="C38" s="12" t="n"/>
      <c r="D38" s="12" t="n"/>
      <c r="E38" s="10" t="inlineStr">
        <is>
          <t>Auto</t>
        </is>
      </c>
      <c r="F38" s="10" t="inlineStr">
        <is>
          <t>Chiller</t>
        </is>
      </c>
      <c r="G38" s="10" t="inlineStr">
        <is>
          <t>FAMILY_SETUP</t>
        </is>
      </c>
      <c r="H38" s="10" t="n">
        <v>0</v>
      </c>
      <c r="I38" s="10" t="n">
        <v>2</v>
      </c>
      <c r="J38" s="10" t="inlineStr">
        <is>
          <t>Valid model input table preparation</t>
        </is>
      </c>
      <c r="K38" s="17" t="n"/>
      <c r="L38" s="17" t="n"/>
      <c r="M38" s="12" t="n">
        <v>0</v>
      </c>
      <c r="N38" s="14">
        <f>IF(OR(K38="",L38=""),"",ROUND((L38-K38)*1440-N(M38),1))</f>
        <v/>
      </c>
      <c r="O38" s="17" t="n"/>
      <c r="P38" s="17" t="n"/>
      <c r="Q38" s="14">
        <f>IF(OR(O38="",P38=""),"",ROUND((P38-O38)*1440,1))</f>
        <v/>
      </c>
      <c r="R38" s="12" t="n"/>
      <c r="S38" s="12" t="inlineStr">
        <is>
          <t>Not started</t>
        </is>
      </c>
      <c r="T38" s="12" t="n"/>
      <c r="U38" s="12" t="n"/>
    </row>
    <row r="39">
      <c r="A39" s="10" t="inlineStr">
        <is>
          <t>OBS-035</t>
        </is>
      </c>
      <c r="B39" s="16" t="n"/>
      <c r="C39" s="12" t="n"/>
      <c r="D39" s="12" t="n"/>
      <c r="E39" s="10" t="inlineStr">
        <is>
          <t>Auto</t>
        </is>
      </c>
      <c r="F39" s="10" t="inlineStr">
        <is>
          <t>Chiller</t>
        </is>
      </c>
      <c r="G39" s="10" t="inlineStr">
        <is>
          <t>FAMILY_SETUP</t>
        </is>
      </c>
      <c r="H39" s="10" t="n">
        <v>0</v>
      </c>
      <c r="I39" s="10" t="n">
        <v>3</v>
      </c>
      <c r="J39" s="10" t="inlineStr">
        <is>
          <t>Modelica/FMU candidate setup</t>
        </is>
      </c>
      <c r="K39" s="17" t="n"/>
      <c r="L39" s="17" t="n"/>
      <c r="M39" s="12" t="n">
        <v>0</v>
      </c>
      <c r="N39" s="14">
        <f>IF(OR(K39="",L39=""),"",ROUND((L39-K39)*1440-N(M39),1))</f>
        <v/>
      </c>
      <c r="O39" s="17" t="n"/>
      <c r="P39" s="17" t="n"/>
      <c r="Q39" s="14">
        <f>IF(OR(O39="",P39=""),"",ROUND((P39-O39)*1440,1))</f>
        <v/>
      </c>
      <c r="R39" s="12" t="n"/>
      <c r="S39" s="12" t="inlineStr">
        <is>
          <t>Not started</t>
        </is>
      </c>
      <c r="T39" s="12" t="n"/>
      <c r="U39" s="12" t="n"/>
    </row>
    <row r="40">
      <c r="A40" s="10" t="inlineStr">
        <is>
          <t>OBS-036</t>
        </is>
      </c>
      <c r="B40" s="16" t="n"/>
      <c r="C40" s="12" t="n"/>
      <c r="D40" s="12" t="n"/>
      <c r="E40" s="10" t="inlineStr">
        <is>
          <t>Auto</t>
        </is>
      </c>
      <c r="F40" s="10" t="inlineStr">
        <is>
          <t>Chiller</t>
        </is>
      </c>
      <c r="G40" s="10" t="inlineStr">
        <is>
          <t>FAMILY_SETUP</t>
        </is>
      </c>
      <c r="H40" s="10" t="n">
        <v>0</v>
      </c>
      <c r="I40" s="10" t="n">
        <v>4</v>
      </c>
      <c r="J40" s="10" t="inlineStr">
        <is>
          <t>FMU parameter search</t>
        </is>
      </c>
      <c r="K40" s="17" t="n"/>
      <c r="L40" s="17" t="n"/>
      <c r="M40" s="12" t="n">
        <v>0</v>
      </c>
      <c r="N40" s="14">
        <f>IF(OR(K40="",L40=""),"",ROUND((L40-K40)*1440-N(M40),1))</f>
        <v/>
      </c>
      <c r="O40" s="17" t="n"/>
      <c r="P40" s="17" t="n"/>
      <c r="Q40" s="14">
        <f>IF(OR(O40="",P40=""),"",ROUND((P40-O40)*1440,1))</f>
        <v/>
      </c>
      <c r="R40" s="12" t="n"/>
      <c r="S40" s="12" t="inlineStr">
        <is>
          <t>Not started</t>
        </is>
      </c>
      <c r="T40" s="12" t="n"/>
      <c r="U40" s="12" t="n"/>
    </row>
    <row r="41">
      <c r="A41" s="10" t="inlineStr">
        <is>
          <t>OBS-037</t>
        </is>
      </c>
      <c r="B41" s="16" t="n"/>
      <c r="C41" s="12" t="n"/>
      <c r="D41" s="12" t="n"/>
      <c r="E41" s="10" t="inlineStr">
        <is>
          <t>Auto</t>
        </is>
      </c>
      <c r="F41" s="10" t="inlineStr">
        <is>
          <t>Chiller</t>
        </is>
      </c>
      <c r="G41" s="10" t="inlineStr">
        <is>
          <t>FAMILY_SETUP</t>
        </is>
      </c>
      <c r="H41" s="10" t="n">
        <v>0</v>
      </c>
      <c r="I41" s="10" t="n">
        <v>5</v>
      </c>
      <c r="J41" s="10" t="inlineStr">
        <is>
          <t>Full-period refinement and validation</t>
        </is>
      </c>
      <c r="K41" s="17" t="n"/>
      <c r="L41" s="17" t="n"/>
      <c r="M41" s="12" t="n">
        <v>0</v>
      </c>
      <c r="N41" s="14">
        <f>IF(OR(K41="",L41=""),"",ROUND((L41-K41)*1440-N(M41),1))</f>
        <v/>
      </c>
      <c r="O41" s="17" t="n"/>
      <c r="P41" s="17" t="n"/>
      <c r="Q41" s="14">
        <f>IF(OR(O41="",P41=""),"",ROUND((P41-O41)*1440,1))</f>
        <v/>
      </c>
      <c r="R41" s="12" t="n"/>
      <c r="S41" s="12" t="inlineStr">
        <is>
          <t>Not started</t>
        </is>
      </c>
      <c r="T41" s="12" t="n"/>
      <c r="U41" s="12" t="n"/>
    </row>
    <row r="42">
      <c r="A42" s="10" t="inlineStr">
        <is>
          <t>OBS-038</t>
        </is>
      </c>
      <c r="B42" s="16" t="n"/>
      <c r="C42" s="12" t="n"/>
      <c r="D42" s="12" t="n"/>
      <c r="E42" s="10" t="inlineStr">
        <is>
          <t>Auto</t>
        </is>
      </c>
      <c r="F42" s="10" t="inlineStr">
        <is>
          <t>Chiller</t>
        </is>
      </c>
      <c r="G42" s="10" t="inlineStr">
        <is>
          <t>FAMILY_SETUP</t>
        </is>
      </c>
      <c r="H42" s="10" t="n">
        <v>0</v>
      </c>
      <c r="I42" s="10" t="n">
        <v>6</v>
      </c>
      <c r="J42" s="10" t="inlineStr">
        <is>
          <t>Paper tables and figures</t>
        </is>
      </c>
      <c r="K42" s="17" t="n"/>
      <c r="L42" s="17" t="n"/>
      <c r="M42" s="12" t="n">
        <v>0</v>
      </c>
      <c r="N42" s="14">
        <f>IF(OR(K42="",L42=""),"",ROUND((L42-K42)*1440-N(M42),1))</f>
        <v/>
      </c>
      <c r="O42" s="17" t="n"/>
      <c r="P42" s="17" t="n"/>
      <c r="Q42" s="14">
        <f>IF(OR(O42="",P42=""),"",ROUND((P42-O42)*1440,1))</f>
        <v/>
      </c>
      <c r="R42" s="12" t="n"/>
      <c r="S42" s="12" t="inlineStr">
        <is>
          <t>Not started</t>
        </is>
      </c>
      <c r="T42" s="12" t="n"/>
      <c r="U42" s="12" t="n"/>
    </row>
    <row r="43">
      <c r="A43" s="10" t="inlineStr">
        <is>
          <t>OBS-039</t>
        </is>
      </c>
      <c r="B43" s="16" t="n"/>
      <c r="C43" s="12" t="n"/>
      <c r="D43" s="12" t="n"/>
      <c r="E43" s="10" t="inlineStr">
        <is>
          <t>Auto</t>
        </is>
      </c>
      <c r="F43" s="10" t="inlineStr">
        <is>
          <t>Chiller</t>
        </is>
      </c>
      <c r="G43" s="10" t="inlineStr">
        <is>
          <t>FAMILY_SETUP</t>
        </is>
      </c>
      <c r="H43" s="10" t="n">
        <v>0</v>
      </c>
      <c r="I43" s="15" t="n">
        <v>7</v>
      </c>
      <c r="J43" s="15" t="inlineStr">
        <is>
          <t>Observability and evidence-grade review</t>
        </is>
      </c>
      <c r="K43" s="17" t="n"/>
      <c r="L43" s="17" t="n"/>
      <c r="M43" s="12" t="n">
        <v>0</v>
      </c>
      <c r="N43" s="14">
        <f>IF(OR(K43="",L43=""),"",ROUND((L43-K43)*1440-N(M43),1))</f>
        <v/>
      </c>
      <c r="O43" s="17" t="n"/>
      <c r="P43" s="17" t="n"/>
      <c r="Q43" s="14">
        <f>IF(OR(O43="",P43=""),"",ROUND((P43-O43)*1440,1))</f>
        <v/>
      </c>
      <c r="R43" s="12" t="n"/>
      <c r="S43" s="12" t="inlineStr">
        <is>
          <t>Not started</t>
        </is>
      </c>
      <c r="T43" s="12" t="n"/>
      <c r="U43" s="12" t="n"/>
    </row>
    <row r="44">
      <c r="A44" s="10" t="inlineStr">
        <is>
          <t>OBS-040</t>
        </is>
      </c>
      <c r="B44" s="16" t="n"/>
      <c r="C44" s="12" t="n"/>
      <c r="D44" s="12" t="n"/>
      <c r="E44" s="10" t="inlineStr">
        <is>
          <t>Auto</t>
        </is>
      </c>
      <c r="F44" s="10" t="inlineStr">
        <is>
          <t>Chiller</t>
        </is>
      </c>
      <c r="G44" s="10" t="inlineStr">
        <is>
          <t>FAMILY_SETUP</t>
        </is>
      </c>
      <c r="H44" s="10" t="n">
        <v>0</v>
      </c>
      <c r="I44" s="15" t="n">
        <v>8</v>
      </c>
      <c r="J44" s="15" t="inlineStr">
        <is>
          <t>Temporal split definition and audit</t>
        </is>
      </c>
      <c r="K44" s="17" t="n"/>
      <c r="L44" s="17" t="n"/>
      <c r="M44" s="12" t="n">
        <v>0</v>
      </c>
      <c r="N44" s="14">
        <f>IF(OR(K44="",L44=""),"",ROUND((L44-K44)*1440-N(M44),1))</f>
        <v/>
      </c>
      <c r="O44" s="17" t="n"/>
      <c r="P44" s="17" t="n"/>
      <c r="Q44" s="14">
        <f>IF(OR(O44="",P44=""),"",ROUND((P44-O44)*1440,1))</f>
        <v/>
      </c>
      <c r="R44" s="12" t="n"/>
      <c r="S44" s="12" t="inlineStr">
        <is>
          <t>Not started</t>
        </is>
      </c>
      <c r="T44" s="12" t="n"/>
      <c r="U44" s="12" t="n"/>
    </row>
    <row r="45">
      <c r="A45" s="10" t="inlineStr">
        <is>
          <t>OBS-041</t>
        </is>
      </c>
      <c r="B45" s="16" t="n"/>
      <c r="C45" s="12" t="n"/>
      <c r="D45" s="12" t="n"/>
      <c r="E45" s="10" t="inlineStr">
        <is>
          <t>Auto</t>
        </is>
      </c>
      <c r="F45" s="10" t="inlineStr">
        <is>
          <t>Chiller</t>
        </is>
      </c>
      <c r="G45" s="10" t="inlineStr">
        <is>
          <t>CH_01</t>
        </is>
      </c>
      <c r="H45" s="10" t="n">
        <v>1</v>
      </c>
      <c r="I45" s="10" t="n">
        <v>1</v>
      </c>
      <c r="J45" s="10" t="inlineStr">
        <is>
          <t>Data loading and semantic mapping</t>
        </is>
      </c>
      <c r="K45" s="17" t="n"/>
      <c r="L45" s="17" t="n"/>
      <c r="M45" s="12" t="n">
        <v>0</v>
      </c>
      <c r="N45" s="14">
        <f>IF(OR(K45="",L45=""),"",ROUND((L45-K45)*1440-N(M45),1))</f>
        <v/>
      </c>
      <c r="O45" s="17" t="n"/>
      <c r="P45" s="17" t="n"/>
      <c r="Q45" s="14">
        <f>IF(OR(O45="",P45=""),"",ROUND((P45-O45)*1440,1))</f>
        <v/>
      </c>
      <c r="R45" s="12" t="n"/>
      <c r="S45" s="12" t="inlineStr">
        <is>
          <t>Not started</t>
        </is>
      </c>
      <c r="T45" s="12" t="n"/>
      <c r="U45" s="12" t="n"/>
    </row>
    <row r="46">
      <c r="A46" s="10" t="inlineStr">
        <is>
          <t>OBS-042</t>
        </is>
      </c>
      <c r="B46" s="16" t="n"/>
      <c r="C46" s="12" t="n"/>
      <c r="D46" s="12" t="n"/>
      <c r="E46" s="10" t="inlineStr">
        <is>
          <t>Auto</t>
        </is>
      </c>
      <c r="F46" s="10" t="inlineStr">
        <is>
          <t>Chiller</t>
        </is>
      </c>
      <c r="G46" s="10" t="inlineStr">
        <is>
          <t>CH_01</t>
        </is>
      </c>
      <c r="H46" s="10" t="n">
        <v>1</v>
      </c>
      <c r="I46" s="10" t="n">
        <v>2</v>
      </c>
      <c r="J46" s="10" t="inlineStr">
        <is>
          <t>Valid model input table preparation</t>
        </is>
      </c>
      <c r="K46" s="17" t="n"/>
      <c r="L46" s="17" t="n"/>
      <c r="M46" s="12" t="n">
        <v>0</v>
      </c>
      <c r="N46" s="14">
        <f>IF(OR(K46="",L46=""),"",ROUND((L46-K46)*1440-N(M46),1))</f>
        <v/>
      </c>
      <c r="O46" s="17" t="n"/>
      <c r="P46" s="17" t="n"/>
      <c r="Q46" s="14">
        <f>IF(OR(O46="",P46=""),"",ROUND((P46-O46)*1440,1))</f>
        <v/>
      </c>
      <c r="R46" s="12" t="n"/>
      <c r="S46" s="12" t="inlineStr">
        <is>
          <t>Not started</t>
        </is>
      </c>
      <c r="T46" s="12" t="n"/>
      <c r="U46" s="12" t="n"/>
    </row>
    <row r="47">
      <c r="A47" s="10" t="inlineStr">
        <is>
          <t>OBS-043</t>
        </is>
      </c>
      <c r="B47" s="16" t="n"/>
      <c r="C47" s="12" t="n"/>
      <c r="D47" s="12" t="n"/>
      <c r="E47" s="10" t="inlineStr">
        <is>
          <t>Auto</t>
        </is>
      </c>
      <c r="F47" s="10" t="inlineStr">
        <is>
          <t>Chiller</t>
        </is>
      </c>
      <c r="G47" s="10" t="inlineStr">
        <is>
          <t>CH_01</t>
        </is>
      </c>
      <c r="H47" s="10" t="n">
        <v>1</v>
      </c>
      <c r="I47" s="10" t="n">
        <v>3</v>
      </c>
      <c r="J47" s="10" t="inlineStr">
        <is>
          <t>Modelica/FMU candidate setup</t>
        </is>
      </c>
      <c r="K47" s="17" t="n"/>
      <c r="L47" s="17" t="n"/>
      <c r="M47" s="12" t="n">
        <v>0</v>
      </c>
      <c r="N47" s="14">
        <f>IF(OR(K47="",L47=""),"",ROUND((L47-K47)*1440-N(M47),1))</f>
        <v/>
      </c>
      <c r="O47" s="17" t="n"/>
      <c r="P47" s="17" t="n"/>
      <c r="Q47" s="14">
        <f>IF(OR(O47="",P47=""),"",ROUND((P47-O47)*1440,1))</f>
        <v/>
      </c>
      <c r="R47" s="12" t="n"/>
      <c r="S47" s="12" t="inlineStr">
        <is>
          <t>Not started</t>
        </is>
      </c>
      <c r="T47" s="12" t="n"/>
      <c r="U47" s="12" t="n"/>
    </row>
    <row r="48">
      <c r="A48" s="10" t="inlineStr">
        <is>
          <t>OBS-044</t>
        </is>
      </c>
      <c r="B48" s="16" t="n"/>
      <c r="C48" s="12" t="n"/>
      <c r="D48" s="12" t="n"/>
      <c r="E48" s="10" t="inlineStr">
        <is>
          <t>Auto</t>
        </is>
      </c>
      <c r="F48" s="10" t="inlineStr">
        <is>
          <t>Chiller</t>
        </is>
      </c>
      <c r="G48" s="10" t="inlineStr">
        <is>
          <t>CH_01</t>
        </is>
      </c>
      <c r="H48" s="10" t="n">
        <v>1</v>
      </c>
      <c r="I48" s="10" t="n">
        <v>4</v>
      </c>
      <c r="J48" s="10" t="inlineStr">
        <is>
          <t>FMU parameter search</t>
        </is>
      </c>
      <c r="K48" s="17" t="n"/>
      <c r="L48" s="17" t="n"/>
      <c r="M48" s="12" t="n">
        <v>0</v>
      </c>
      <c r="N48" s="14">
        <f>IF(OR(K48="",L48=""),"",ROUND((L48-K48)*1440-N(M48),1))</f>
        <v/>
      </c>
      <c r="O48" s="17" t="n"/>
      <c r="P48" s="17" t="n"/>
      <c r="Q48" s="14">
        <f>IF(OR(O48="",P48=""),"",ROUND((P48-O48)*1440,1))</f>
        <v/>
      </c>
      <c r="R48" s="12" t="n"/>
      <c r="S48" s="12" t="inlineStr">
        <is>
          <t>Not started</t>
        </is>
      </c>
      <c r="T48" s="12" t="n"/>
      <c r="U48" s="12" t="n"/>
    </row>
    <row r="49">
      <c r="A49" s="10" t="inlineStr">
        <is>
          <t>OBS-045</t>
        </is>
      </c>
      <c r="B49" s="16" t="n"/>
      <c r="C49" s="12" t="n"/>
      <c r="D49" s="12" t="n"/>
      <c r="E49" s="10" t="inlineStr">
        <is>
          <t>Auto</t>
        </is>
      </c>
      <c r="F49" s="10" t="inlineStr">
        <is>
          <t>Chiller</t>
        </is>
      </c>
      <c r="G49" s="10" t="inlineStr">
        <is>
          <t>CH_01</t>
        </is>
      </c>
      <c r="H49" s="10" t="n">
        <v>1</v>
      </c>
      <c r="I49" s="10" t="n">
        <v>5</v>
      </c>
      <c r="J49" s="10" t="inlineStr">
        <is>
          <t>Full-period refinement and validation</t>
        </is>
      </c>
      <c r="K49" s="17" t="n"/>
      <c r="L49" s="17" t="n"/>
      <c r="M49" s="12" t="n">
        <v>0</v>
      </c>
      <c r="N49" s="14">
        <f>IF(OR(K49="",L49=""),"",ROUND((L49-K49)*1440-N(M49),1))</f>
        <v/>
      </c>
      <c r="O49" s="17" t="n"/>
      <c r="P49" s="17" t="n"/>
      <c r="Q49" s="14">
        <f>IF(OR(O49="",P49=""),"",ROUND((P49-O49)*1440,1))</f>
        <v/>
      </c>
      <c r="R49" s="12" t="n"/>
      <c r="S49" s="12" t="inlineStr">
        <is>
          <t>Not started</t>
        </is>
      </c>
      <c r="T49" s="12" t="n"/>
      <c r="U49" s="12" t="n"/>
    </row>
    <row r="50">
      <c r="A50" s="10" t="inlineStr">
        <is>
          <t>OBS-046</t>
        </is>
      </c>
      <c r="B50" s="16" t="n"/>
      <c r="C50" s="12" t="n"/>
      <c r="D50" s="12" t="n"/>
      <c r="E50" s="10" t="inlineStr">
        <is>
          <t>Auto</t>
        </is>
      </c>
      <c r="F50" s="10" t="inlineStr">
        <is>
          <t>Chiller</t>
        </is>
      </c>
      <c r="G50" s="10" t="inlineStr">
        <is>
          <t>CH_01</t>
        </is>
      </c>
      <c r="H50" s="10" t="n">
        <v>1</v>
      </c>
      <c r="I50" s="10" t="n">
        <v>6</v>
      </c>
      <c r="J50" s="10" t="inlineStr">
        <is>
          <t>Paper tables and figures</t>
        </is>
      </c>
      <c r="K50" s="17" t="n"/>
      <c r="L50" s="17" t="n"/>
      <c r="M50" s="12" t="n">
        <v>0</v>
      </c>
      <c r="N50" s="14">
        <f>IF(OR(K50="",L50=""),"",ROUND((L50-K50)*1440-N(M50),1))</f>
        <v/>
      </c>
      <c r="O50" s="17" t="n"/>
      <c r="P50" s="17" t="n"/>
      <c r="Q50" s="14">
        <f>IF(OR(O50="",P50=""),"",ROUND((P50-O50)*1440,1))</f>
        <v/>
      </c>
      <c r="R50" s="12" t="n"/>
      <c r="S50" s="12" t="inlineStr">
        <is>
          <t>Not started</t>
        </is>
      </c>
      <c r="T50" s="12" t="n"/>
      <c r="U50" s="12" t="n"/>
    </row>
    <row r="51">
      <c r="A51" s="10" t="inlineStr">
        <is>
          <t>OBS-047</t>
        </is>
      </c>
      <c r="B51" s="16" t="n"/>
      <c r="C51" s="12" t="n"/>
      <c r="D51" s="12" t="n"/>
      <c r="E51" s="10" t="inlineStr">
        <is>
          <t>Auto</t>
        </is>
      </c>
      <c r="F51" s="10" t="inlineStr">
        <is>
          <t>Chiller</t>
        </is>
      </c>
      <c r="G51" s="10" t="inlineStr">
        <is>
          <t>CH_01</t>
        </is>
      </c>
      <c r="H51" s="10" t="n">
        <v>1</v>
      </c>
      <c r="I51" s="15" t="n">
        <v>7</v>
      </c>
      <c r="J51" s="15" t="inlineStr">
        <is>
          <t>Observability and evidence-grade review</t>
        </is>
      </c>
      <c r="K51" s="17" t="n"/>
      <c r="L51" s="17" t="n"/>
      <c r="M51" s="12" t="n">
        <v>0</v>
      </c>
      <c r="N51" s="14">
        <f>IF(OR(K51="",L51=""),"",ROUND((L51-K51)*1440-N(M51),1))</f>
        <v/>
      </c>
      <c r="O51" s="17" t="n"/>
      <c r="P51" s="17" t="n"/>
      <c r="Q51" s="14">
        <f>IF(OR(O51="",P51=""),"",ROUND((P51-O51)*1440,1))</f>
        <v/>
      </c>
      <c r="R51" s="12" t="n"/>
      <c r="S51" s="12" t="inlineStr">
        <is>
          <t>Not started</t>
        </is>
      </c>
      <c r="T51" s="12" t="n"/>
      <c r="U51" s="12" t="n"/>
    </row>
    <row r="52">
      <c r="A52" s="10" t="inlineStr">
        <is>
          <t>OBS-048</t>
        </is>
      </c>
      <c r="B52" s="16" t="n"/>
      <c r="C52" s="12" t="n"/>
      <c r="D52" s="12" t="n"/>
      <c r="E52" s="10" t="inlineStr">
        <is>
          <t>Auto</t>
        </is>
      </c>
      <c r="F52" s="10" t="inlineStr">
        <is>
          <t>Chiller</t>
        </is>
      </c>
      <c r="G52" s="10" t="inlineStr">
        <is>
          <t>CH_01</t>
        </is>
      </c>
      <c r="H52" s="10" t="n">
        <v>1</v>
      </c>
      <c r="I52" s="15" t="n">
        <v>8</v>
      </c>
      <c r="J52" s="15" t="inlineStr">
        <is>
          <t>Temporal split definition and audit</t>
        </is>
      </c>
      <c r="K52" s="17" t="n"/>
      <c r="L52" s="17" t="n"/>
      <c r="M52" s="12" t="n">
        <v>0</v>
      </c>
      <c r="N52" s="14">
        <f>IF(OR(K52="",L52=""),"",ROUND((L52-K52)*1440-N(M52),1))</f>
        <v/>
      </c>
      <c r="O52" s="17" t="n"/>
      <c r="P52" s="17" t="n"/>
      <c r="Q52" s="14">
        <f>IF(OR(O52="",P52=""),"",ROUND((P52-O52)*1440,1))</f>
        <v/>
      </c>
      <c r="R52" s="12" t="n"/>
      <c r="S52" s="12" t="inlineStr">
        <is>
          <t>Not started</t>
        </is>
      </c>
      <c r="T52" s="12" t="n"/>
      <c r="U52" s="12" t="n"/>
    </row>
    <row r="53">
      <c r="A53" s="10" t="inlineStr">
        <is>
          <t>OBS-049</t>
        </is>
      </c>
      <c r="B53" s="16" t="n"/>
      <c r="C53" s="12" t="n"/>
      <c r="D53" s="12" t="n"/>
      <c r="E53" s="10" t="inlineStr">
        <is>
          <t>Auto</t>
        </is>
      </c>
      <c r="F53" s="10" t="inlineStr">
        <is>
          <t>Chiller</t>
        </is>
      </c>
      <c r="G53" s="10" t="inlineStr">
        <is>
          <t>CH_03</t>
        </is>
      </c>
      <c r="H53" s="10" t="n">
        <v>2</v>
      </c>
      <c r="I53" s="10" t="n">
        <v>1</v>
      </c>
      <c r="J53" s="10" t="inlineStr">
        <is>
          <t>Data loading and semantic mapping</t>
        </is>
      </c>
      <c r="K53" s="17" t="n"/>
      <c r="L53" s="17" t="n"/>
      <c r="M53" s="12" t="n">
        <v>0</v>
      </c>
      <c r="N53" s="14">
        <f>IF(OR(K53="",L53=""),"",ROUND((L53-K53)*1440-N(M53),1))</f>
        <v/>
      </c>
      <c r="O53" s="17" t="n"/>
      <c r="P53" s="17" t="n"/>
      <c r="Q53" s="14">
        <f>IF(OR(O53="",P53=""),"",ROUND((P53-O53)*1440,1))</f>
        <v/>
      </c>
      <c r="R53" s="12" t="n"/>
      <c r="S53" s="12" t="inlineStr">
        <is>
          <t>Not started</t>
        </is>
      </c>
      <c r="T53" s="12" t="n"/>
      <c r="U53" s="12" t="n"/>
    </row>
    <row r="54">
      <c r="A54" s="10" t="inlineStr">
        <is>
          <t>OBS-050</t>
        </is>
      </c>
      <c r="B54" s="16" t="n"/>
      <c r="C54" s="12" t="n"/>
      <c r="D54" s="12" t="n"/>
      <c r="E54" s="10" t="inlineStr">
        <is>
          <t>Auto</t>
        </is>
      </c>
      <c r="F54" s="10" t="inlineStr">
        <is>
          <t>Chiller</t>
        </is>
      </c>
      <c r="G54" s="10" t="inlineStr">
        <is>
          <t>CH_03</t>
        </is>
      </c>
      <c r="H54" s="10" t="n">
        <v>2</v>
      </c>
      <c r="I54" s="10" t="n">
        <v>2</v>
      </c>
      <c r="J54" s="10" t="inlineStr">
        <is>
          <t>Valid model input table preparation</t>
        </is>
      </c>
      <c r="K54" s="17" t="n"/>
      <c r="L54" s="17" t="n"/>
      <c r="M54" s="12" t="n">
        <v>0</v>
      </c>
      <c r="N54" s="14">
        <f>IF(OR(K54="",L54=""),"",ROUND((L54-K54)*1440-N(M54),1))</f>
        <v/>
      </c>
      <c r="O54" s="17" t="n"/>
      <c r="P54" s="17" t="n"/>
      <c r="Q54" s="14">
        <f>IF(OR(O54="",P54=""),"",ROUND((P54-O54)*1440,1))</f>
        <v/>
      </c>
      <c r="R54" s="12" t="n"/>
      <c r="S54" s="12" t="inlineStr">
        <is>
          <t>Not started</t>
        </is>
      </c>
      <c r="T54" s="12" t="n"/>
      <c r="U54" s="12" t="n"/>
    </row>
    <row r="55">
      <c r="A55" s="10" t="inlineStr">
        <is>
          <t>OBS-051</t>
        </is>
      </c>
      <c r="B55" s="16" t="n"/>
      <c r="C55" s="12" t="n"/>
      <c r="D55" s="12" t="n"/>
      <c r="E55" s="10" t="inlineStr">
        <is>
          <t>Auto</t>
        </is>
      </c>
      <c r="F55" s="10" t="inlineStr">
        <is>
          <t>Chiller</t>
        </is>
      </c>
      <c r="G55" s="10" t="inlineStr">
        <is>
          <t>CH_03</t>
        </is>
      </c>
      <c r="H55" s="10" t="n">
        <v>2</v>
      </c>
      <c r="I55" s="10" t="n">
        <v>3</v>
      </c>
      <c r="J55" s="10" t="inlineStr">
        <is>
          <t>Modelica/FMU candidate setup</t>
        </is>
      </c>
      <c r="K55" s="17" t="n"/>
      <c r="L55" s="17" t="n"/>
      <c r="M55" s="12" t="n">
        <v>0</v>
      </c>
      <c r="N55" s="14">
        <f>IF(OR(K55="",L55=""),"",ROUND((L55-K55)*1440-N(M55),1))</f>
        <v/>
      </c>
      <c r="O55" s="17" t="n"/>
      <c r="P55" s="17" t="n"/>
      <c r="Q55" s="14">
        <f>IF(OR(O55="",P55=""),"",ROUND((P55-O55)*1440,1))</f>
        <v/>
      </c>
      <c r="R55" s="12" t="n"/>
      <c r="S55" s="12" t="inlineStr">
        <is>
          <t>Not started</t>
        </is>
      </c>
      <c r="T55" s="12" t="n"/>
      <c r="U55" s="12" t="n"/>
    </row>
    <row r="56">
      <c r="A56" s="10" t="inlineStr">
        <is>
          <t>OBS-052</t>
        </is>
      </c>
      <c r="B56" s="16" t="n"/>
      <c r="C56" s="12" t="n"/>
      <c r="D56" s="12" t="n"/>
      <c r="E56" s="10" t="inlineStr">
        <is>
          <t>Auto</t>
        </is>
      </c>
      <c r="F56" s="10" t="inlineStr">
        <is>
          <t>Chiller</t>
        </is>
      </c>
      <c r="G56" s="10" t="inlineStr">
        <is>
          <t>CH_03</t>
        </is>
      </c>
      <c r="H56" s="10" t="n">
        <v>2</v>
      </c>
      <c r="I56" s="10" t="n">
        <v>4</v>
      </c>
      <c r="J56" s="10" t="inlineStr">
        <is>
          <t>FMU parameter search</t>
        </is>
      </c>
      <c r="K56" s="17" t="n"/>
      <c r="L56" s="17" t="n"/>
      <c r="M56" s="12" t="n">
        <v>0</v>
      </c>
      <c r="N56" s="14">
        <f>IF(OR(K56="",L56=""),"",ROUND((L56-K56)*1440-N(M56),1))</f>
        <v/>
      </c>
      <c r="O56" s="17" t="n"/>
      <c r="P56" s="17" t="n"/>
      <c r="Q56" s="14">
        <f>IF(OR(O56="",P56=""),"",ROUND((P56-O56)*1440,1))</f>
        <v/>
      </c>
      <c r="R56" s="12" t="n"/>
      <c r="S56" s="12" t="inlineStr">
        <is>
          <t>Not started</t>
        </is>
      </c>
      <c r="T56" s="12" t="n"/>
      <c r="U56" s="12" t="n"/>
    </row>
    <row r="57">
      <c r="A57" s="10" t="inlineStr">
        <is>
          <t>OBS-053</t>
        </is>
      </c>
      <c r="B57" s="16" t="n"/>
      <c r="C57" s="12" t="n"/>
      <c r="D57" s="12" t="n"/>
      <c r="E57" s="10" t="inlineStr">
        <is>
          <t>Auto</t>
        </is>
      </c>
      <c r="F57" s="10" t="inlineStr">
        <is>
          <t>Chiller</t>
        </is>
      </c>
      <c r="G57" s="10" t="inlineStr">
        <is>
          <t>CH_03</t>
        </is>
      </c>
      <c r="H57" s="10" t="n">
        <v>2</v>
      </c>
      <c r="I57" s="10" t="n">
        <v>5</v>
      </c>
      <c r="J57" s="10" t="inlineStr">
        <is>
          <t>Full-period refinement and validation</t>
        </is>
      </c>
      <c r="K57" s="17" t="n"/>
      <c r="L57" s="17" t="n"/>
      <c r="M57" s="12" t="n">
        <v>0</v>
      </c>
      <c r="N57" s="14">
        <f>IF(OR(K57="",L57=""),"",ROUND((L57-K57)*1440-N(M57),1))</f>
        <v/>
      </c>
      <c r="O57" s="17" t="n"/>
      <c r="P57" s="17" t="n"/>
      <c r="Q57" s="14">
        <f>IF(OR(O57="",P57=""),"",ROUND((P57-O57)*1440,1))</f>
        <v/>
      </c>
      <c r="R57" s="12" t="n"/>
      <c r="S57" s="12" t="inlineStr">
        <is>
          <t>Not started</t>
        </is>
      </c>
      <c r="T57" s="12" t="n"/>
      <c r="U57" s="12" t="n"/>
    </row>
    <row r="58">
      <c r="A58" s="10" t="inlineStr">
        <is>
          <t>OBS-054</t>
        </is>
      </c>
      <c r="B58" s="16" t="n"/>
      <c r="C58" s="12" t="n"/>
      <c r="D58" s="12" t="n"/>
      <c r="E58" s="10" t="inlineStr">
        <is>
          <t>Auto</t>
        </is>
      </c>
      <c r="F58" s="10" t="inlineStr">
        <is>
          <t>Chiller</t>
        </is>
      </c>
      <c r="G58" s="10" t="inlineStr">
        <is>
          <t>CH_03</t>
        </is>
      </c>
      <c r="H58" s="10" t="n">
        <v>2</v>
      </c>
      <c r="I58" s="10" t="n">
        <v>6</v>
      </c>
      <c r="J58" s="10" t="inlineStr">
        <is>
          <t>Paper tables and figures</t>
        </is>
      </c>
      <c r="K58" s="17" t="n"/>
      <c r="L58" s="17" t="n"/>
      <c r="M58" s="12" t="n">
        <v>0</v>
      </c>
      <c r="N58" s="14">
        <f>IF(OR(K58="",L58=""),"",ROUND((L58-K58)*1440-N(M58),1))</f>
        <v/>
      </c>
      <c r="O58" s="17" t="n"/>
      <c r="P58" s="17" t="n"/>
      <c r="Q58" s="14">
        <f>IF(OR(O58="",P58=""),"",ROUND((P58-O58)*1440,1))</f>
        <v/>
      </c>
      <c r="R58" s="12" t="n"/>
      <c r="S58" s="12" t="inlineStr">
        <is>
          <t>Not started</t>
        </is>
      </c>
      <c r="T58" s="12" t="n"/>
      <c r="U58" s="12" t="n"/>
    </row>
    <row r="59">
      <c r="A59" s="10" t="inlineStr">
        <is>
          <t>OBS-055</t>
        </is>
      </c>
      <c r="B59" s="16" t="n"/>
      <c r="C59" s="12" t="n"/>
      <c r="D59" s="12" t="n"/>
      <c r="E59" s="10" t="inlineStr">
        <is>
          <t>Auto</t>
        </is>
      </c>
      <c r="F59" s="10" t="inlineStr">
        <is>
          <t>Chiller</t>
        </is>
      </c>
      <c r="G59" s="10" t="inlineStr">
        <is>
          <t>CH_03</t>
        </is>
      </c>
      <c r="H59" s="10" t="n">
        <v>2</v>
      </c>
      <c r="I59" s="15" t="n">
        <v>7</v>
      </c>
      <c r="J59" s="15" t="inlineStr">
        <is>
          <t>Observability and evidence-grade review</t>
        </is>
      </c>
      <c r="K59" s="17" t="n"/>
      <c r="L59" s="17" t="n"/>
      <c r="M59" s="12" t="n">
        <v>0</v>
      </c>
      <c r="N59" s="14">
        <f>IF(OR(K59="",L59=""),"",ROUND((L59-K59)*1440-N(M59),1))</f>
        <v/>
      </c>
      <c r="O59" s="17" t="n"/>
      <c r="P59" s="17" t="n"/>
      <c r="Q59" s="14">
        <f>IF(OR(O59="",P59=""),"",ROUND((P59-O59)*1440,1))</f>
        <v/>
      </c>
      <c r="R59" s="12" t="n"/>
      <c r="S59" s="12" t="inlineStr">
        <is>
          <t>Not started</t>
        </is>
      </c>
      <c r="T59" s="12" t="n"/>
      <c r="U59" s="12" t="n"/>
    </row>
    <row r="60">
      <c r="A60" s="10" t="inlineStr">
        <is>
          <t>OBS-056</t>
        </is>
      </c>
      <c r="B60" s="16" t="n"/>
      <c r="C60" s="12" t="n"/>
      <c r="D60" s="12" t="n"/>
      <c r="E60" s="10" t="inlineStr">
        <is>
          <t>Auto</t>
        </is>
      </c>
      <c r="F60" s="10" t="inlineStr">
        <is>
          <t>Chiller</t>
        </is>
      </c>
      <c r="G60" s="10" t="inlineStr">
        <is>
          <t>CH_03</t>
        </is>
      </c>
      <c r="H60" s="10" t="n">
        <v>2</v>
      </c>
      <c r="I60" s="15" t="n">
        <v>8</v>
      </c>
      <c r="J60" s="15" t="inlineStr">
        <is>
          <t>Temporal split definition and audit</t>
        </is>
      </c>
      <c r="K60" s="17" t="n"/>
      <c r="L60" s="17" t="n"/>
      <c r="M60" s="12" t="n">
        <v>0</v>
      </c>
      <c r="N60" s="14">
        <f>IF(OR(K60="",L60=""),"",ROUND((L60-K60)*1440-N(M60),1))</f>
        <v/>
      </c>
      <c r="O60" s="17" t="n"/>
      <c r="P60" s="17" t="n"/>
      <c r="Q60" s="14">
        <f>IF(OR(O60="",P60=""),"",ROUND((P60-O60)*1440,1))</f>
        <v/>
      </c>
      <c r="R60" s="12" t="n"/>
      <c r="S60" s="12" t="inlineStr">
        <is>
          <t>Not started</t>
        </is>
      </c>
      <c r="T60" s="12" t="n"/>
      <c r="U60" s="12" t="n"/>
    </row>
    <row r="61">
      <c r="A61" s="10" t="inlineStr">
        <is>
          <t>OBS-057</t>
        </is>
      </c>
      <c r="B61" s="16" t="n"/>
      <c r="C61" s="12" t="n"/>
      <c r="D61" s="12" t="n"/>
      <c r="E61" s="10" t="inlineStr">
        <is>
          <t>Auto</t>
        </is>
      </c>
      <c r="F61" s="10" t="inlineStr">
        <is>
          <t>Chiller</t>
        </is>
      </c>
      <c r="G61" s="10" t="inlineStr">
        <is>
          <t>CH_05</t>
        </is>
      </c>
      <c r="H61" s="10" t="n">
        <v>3</v>
      </c>
      <c r="I61" s="10" t="n">
        <v>1</v>
      </c>
      <c r="J61" s="10" t="inlineStr">
        <is>
          <t>Data loading and semantic mapping</t>
        </is>
      </c>
      <c r="K61" s="17" t="n"/>
      <c r="L61" s="17" t="n"/>
      <c r="M61" s="12" t="n">
        <v>0</v>
      </c>
      <c r="N61" s="14">
        <f>IF(OR(K61="",L61=""),"",ROUND((L61-K61)*1440-N(M61),1))</f>
        <v/>
      </c>
      <c r="O61" s="17" t="n"/>
      <c r="P61" s="17" t="n"/>
      <c r="Q61" s="14">
        <f>IF(OR(O61="",P61=""),"",ROUND((P61-O61)*1440,1))</f>
        <v/>
      </c>
      <c r="R61" s="12" t="n"/>
      <c r="S61" s="12" t="inlineStr">
        <is>
          <t>Not started</t>
        </is>
      </c>
      <c r="T61" s="12" t="n"/>
      <c r="U61" s="12" t="n"/>
    </row>
    <row r="62">
      <c r="A62" s="10" t="inlineStr">
        <is>
          <t>OBS-058</t>
        </is>
      </c>
      <c r="B62" s="16" t="n"/>
      <c r="C62" s="12" t="n"/>
      <c r="D62" s="12" t="n"/>
      <c r="E62" s="10" t="inlineStr">
        <is>
          <t>Auto</t>
        </is>
      </c>
      <c r="F62" s="10" t="inlineStr">
        <is>
          <t>Chiller</t>
        </is>
      </c>
      <c r="G62" s="10" t="inlineStr">
        <is>
          <t>CH_05</t>
        </is>
      </c>
      <c r="H62" s="10" t="n">
        <v>3</v>
      </c>
      <c r="I62" s="10" t="n">
        <v>2</v>
      </c>
      <c r="J62" s="10" t="inlineStr">
        <is>
          <t>Valid model input table preparation</t>
        </is>
      </c>
      <c r="K62" s="17" t="n"/>
      <c r="L62" s="17" t="n"/>
      <c r="M62" s="12" t="n">
        <v>0</v>
      </c>
      <c r="N62" s="14">
        <f>IF(OR(K62="",L62=""),"",ROUND((L62-K62)*1440-N(M62),1))</f>
        <v/>
      </c>
      <c r="O62" s="17" t="n"/>
      <c r="P62" s="17" t="n"/>
      <c r="Q62" s="14">
        <f>IF(OR(O62="",P62=""),"",ROUND((P62-O62)*1440,1))</f>
        <v/>
      </c>
      <c r="R62" s="12" t="n"/>
      <c r="S62" s="12" t="inlineStr">
        <is>
          <t>Not started</t>
        </is>
      </c>
      <c r="T62" s="12" t="n"/>
      <c r="U62" s="12" t="n"/>
    </row>
    <row r="63">
      <c r="A63" s="10" t="inlineStr">
        <is>
          <t>OBS-059</t>
        </is>
      </c>
      <c r="B63" s="16" t="n"/>
      <c r="C63" s="12" t="n"/>
      <c r="D63" s="12" t="n"/>
      <c r="E63" s="10" t="inlineStr">
        <is>
          <t>Auto</t>
        </is>
      </c>
      <c r="F63" s="10" t="inlineStr">
        <is>
          <t>Chiller</t>
        </is>
      </c>
      <c r="G63" s="10" t="inlineStr">
        <is>
          <t>CH_05</t>
        </is>
      </c>
      <c r="H63" s="10" t="n">
        <v>3</v>
      </c>
      <c r="I63" s="10" t="n">
        <v>3</v>
      </c>
      <c r="J63" s="10" t="inlineStr">
        <is>
          <t>Modelica/FMU candidate setup</t>
        </is>
      </c>
      <c r="K63" s="17" t="n"/>
      <c r="L63" s="17" t="n"/>
      <c r="M63" s="12" t="n">
        <v>0</v>
      </c>
      <c r="N63" s="14">
        <f>IF(OR(K63="",L63=""),"",ROUND((L63-K63)*1440-N(M63),1))</f>
        <v/>
      </c>
      <c r="O63" s="17" t="n"/>
      <c r="P63" s="17" t="n"/>
      <c r="Q63" s="14">
        <f>IF(OR(O63="",P63=""),"",ROUND((P63-O63)*1440,1))</f>
        <v/>
      </c>
      <c r="R63" s="12" t="n"/>
      <c r="S63" s="12" t="inlineStr">
        <is>
          <t>Not started</t>
        </is>
      </c>
      <c r="T63" s="12" t="n"/>
      <c r="U63" s="12" t="n"/>
    </row>
    <row r="64">
      <c r="A64" s="10" t="inlineStr">
        <is>
          <t>OBS-060</t>
        </is>
      </c>
      <c r="B64" s="16" t="n"/>
      <c r="C64" s="12" t="n"/>
      <c r="D64" s="12" t="n"/>
      <c r="E64" s="10" t="inlineStr">
        <is>
          <t>Auto</t>
        </is>
      </c>
      <c r="F64" s="10" t="inlineStr">
        <is>
          <t>Chiller</t>
        </is>
      </c>
      <c r="G64" s="10" t="inlineStr">
        <is>
          <t>CH_05</t>
        </is>
      </c>
      <c r="H64" s="10" t="n">
        <v>3</v>
      </c>
      <c r="I64" s="10" t="n">
        <v>4</v>
      </c>
      <c r="J64" s="10" t="inlineStr">
        <is>
          <t>FMU parameter search</t>
        </is>
      </c>
      <c r="K64" s="17" t="n"/>
      <c r="L64" s="17" t="n"/>
      <c r="M64" s="12" t="n">
        <v>0</v>
      </c>
      <c r="N64" s="14">
        <f>IF(OR(K64="",L64=""),"",ROUND((L64-K64)*1440-N(M64),1))</f>
        <v/>
      </c>
      <c r="O64" s="17" t="n"/>
      <c r="P64" s="17" t="n"/>
      <c r="Q64" s="14">
        <f>IF(OR(O64="",P64=""),"",ROUND((P64-O64)*1440,1))</f>
        <v/>
      </c>
      <c r="R64" s="12" t="n"/>
      <c r="S64" s="12" t="inlineStr">
        <is>
          <t>Not started</t>
        </is>
      </c>
      <c r="T64" s="12" t="n"/>
      <c r="U64" s="12" t="n"/>
    </row>
    <row r="65">
      <c r="A65" s="10" t="inlineStr">
        <is>
          <t>OBS-061</t>
        </is>
      </c>
      <c r="B65" s="16" t="n"/>
      <c r="C65" s="12" t="n"/>
      <c r="D65" s="12" t="n"/>
      <c r="E65" s="10" t="inlineStr">
        <is>
          <t>Auto</t>
        </is>
      </c>
      <c r="F65" s="10" t="inlineStr">
        <is>
          <t>Chiller</t>
        </is>
      </c>
      <c r="G65" s="10" t="inlineStr">
        <is>
          <t>CH_05</t>
        </is>
      </c>
      <c r="H65" s="10" t="n">
        <v>3</v>
      </c>
      <c r="I65" s="10" t="n">
        <v>5</v>
      </c>
      <c r="J65" s="10" t="inlineStr">
        <is>
          <t>Full-period refinement and validation</t>
        </is>
      </c>
      <c r="K65" s="17" t="n"/>
      <c r="L65" s="17" t="n"/>
      <c r="M65" s="12" t="n">
        <v>0</v>
      </c>
      <c r="N65" s="14">
        <f>IF(OR(K65="",L65=""),"",ROUND((L65-K65)*1440-N(M65),1))</f>
        <v/>
      </c>
      <c r="O65" s="17" t="n"/>
      <c r="P65" s="17" t="n"/>
      <c r="Q65" s="14">
        <f>IF(OR(O65="",P65=""),"",ROUND((P65-O65)*1440,1))</f>
        <v/>
      </c>
      <c r="R65" s="12" t="n"/>
      <c r="S65" s="12" t="inlineStr">
        <is>
          <t>Not started</t>
        </is>
      </c>
      <c r="T65" s="12" t="n"/>
      <c r="U65" s="12" t="n"/>
    </row>
    <row r="66">
      <c r="A66" s="10" t="inlineStr">
        <is>
          <t>OBS-062</t>
        </is>
      </c>
      <c r="B66" s="16" t="n"/>
      <c r="C66" s="12" t="n"/>
      <c r="D66" s="12" t="n"/>
      <c r="E66" s="10" t="inlineStr">
        <is>
          <t>Auto</t>
        </is>
      </c>
      <c r="F66" s="10" t="inlineStr">
        <is>
          <t>Chiller</t>
        </is>
      </c>
      <c r="G66" s="10" t="inlineStr">
        <is>
          <t>CH_05</t>
        </is>
      </c>
      <c r="H66" s="10" t="n">
        <v>3</v>
      </c>
      <c r="I66" s="10" t="n">
        <v>6</v>
      </c>
      <c r="J66" s="10" t="inlineStr">
        <is>
          <t>Paper tables and figures</t>
        </is>
      </c>
      <c r="K66" s="17" t="n"/>
      <c r="L66" s="17" t="n"/>
      <c r="M66" s="12" t="n">
        <v>0</v>
      </c>
      <c r="N66" s="14">
        <f>IF(OR(K66="",L66=""),"",ROUND((L66-K66)*1440-N(M66),1))</f>
        <v/>
      </c>
      <c r="O66" s="17" t="n"/>
      <c r="P66" s="17" t="n"/>
      <c r="Q66" s="14">
        <f>IF(OR(O66="",P66=""),"",ROUND((P66-O66)*1440,1))</f>
        <v/>
      </c>
      <c r="R66" s="12" t="n"/>
      <c r="S66" s="12" t="inlineStr">
        <is>
          <t>Not started</t>
        </is>
      </c>
      <c r="T66" s="12" t="n"/>
      <c r="U66" s="12" t="n"/>
    </row>
    <row r="67">
      <c r="A67" s="10" t="inlineStr">
        <is>
          <t>OBS-063</t>
        </is>
      </c>
      <c r="B67" s="16" t="n"/>
      <c r="C67" s="12" t="n"/>
      <c r="D67" s="12" t="n"/>
      <c r="E67" s="10" t="inlineStr">
        <is>
          <t>Auto</t>
        </is>
      </c>
      <c r="F67" s="10" t="inlineStr">
        <is>
          <t>Chiller</t>
        </is>
      </c>
      <c r="G67" s="10" t="inlineStr">
        <is>
          <t>CH_05</t>
        </is>
      </c>
      <c r="H67" s="10" t="n">
        <v>3</v>
      </c>
      <c r="I67" s="15" t="n">
        <v>7</v>
      </c>
      <c r="J67" s="15" t="inlineStr">
        <is>
          <t>Observability and evidence-grade review</t>
        </is>
      </c>
      <c r="K67" s="17" t="n"/>
      <c r="L67" s="17" t="n"/>
      <c r="M67" s="12" t="n">
        <v>0</v>
      </c>
      <c r="N67" s="14">
        <f>IF(OR(K67="",L67=""),"",ROUND((L67-K67)*1440-N(M67),1))</f>
        <v/>
      </c>
      <c r="O67" s="17" t="n"/>
      <c r="P67" s="17" t="n"/>
      <c r="Q67" s="14">
        <f>IF(OR(O67="",P67=""),"",ROUND((P67-O67)*1440,1))</f>
        <v/>
      </c>
      <c r="R67" s="12" t="n"/>
      <c r="S67" s="12" t="inlineStr">
        <is>
          <t>Not started</t>
        </is>
      </c>
      <c r="T67" s="12" t="n"/>
      <c r="U67" s="12" t="n"/>
    </row>
    <row r="68">
      <c r="A68" s="10" t="inlineStr">
        <is>
          <t>OBS-064</t>
        </is>
      </c>
      <c r="B68" s="16" t="n"/>
      <c r="C68" s="12" t="n"/>
      <c r="D68" s="12" t="n"/>
      <c r="E68" s="10" t="inlineStr">
        <is>
          <t>Auto</t>
        </is>
      </c>
      <c r="F68" s="10" t="inlineStr">
        <is>
          <t>Chiller</t>
        </is>
      </c>
      <c r="G68" s="10" t="inlineStr">
        <is>
          <t>CH_05</t>
        </is>
      </c>
      <c r="H68" s="10" t="n">
        <v>3</v>
      </c>
      <c r="I68" s="15" t="n">
        <v>8</v>
      </c>
      <c r="J68" s="15" t="inlineStr">
        <is>
          <t>Temporal split definition and audit</t>
        </is>
      </c>
      <c r="K68" s="17" t="n"/>
      <c r="L68" s="17" t="n"/>
      <c r="M68" s="12" t="n">
        <v>0</v>
      </c>
      <c r="N68" s="14">
        <f>IF(OR(K68="",L68=""),"",ROUND((L68-K68)*1440-N(M68),1))</f>
        <v/>
      </c>
      <c r="O68" s="17" t="n"/>
      <c r="P68" s="17" t="n"/>
      <c r="Q68" s="14">
        <f>IF(OR(O68="",P68=""),"",ROUND((P68-O68)*1440,1))</f>
        <v/>
      </c>
      <c r="R68" s="12" t="n"/>
      <c r="S68" s="12" t="inlineStr">
        <is>
          <t>Not started</t>
        </is>
      </c>
      <c r="T68" s="12" t="n"/>
      <c r="U68" s="12" t="n"/>
    </row>
    <row r="69">
      <c r="A69" s="10" t="inlineStr">
        <is>
          <t>OBS-065</t>
        </is>
      </c>
      <c r="B69" s="16" t="n">
        <v>46183</v>
      </c>
      <c r="C69" s="12" t="inlineStr">
        <is>
          <t>OP-001</t>
        </is>
      </c>
      <c r="D69" s="12" t="inlineStr">
        <is>
          <t>OBS-001</t>
        </is>
      </c>
      <c r="E69" s="10" t="inlineStr">
        <is>
          <t>Manual</t>
        </is>
      </c>
      <c r="F69" s="10" t="inlineStr">
        <is>
          <t>Cooling tower</t>
        </is>
      </c>
      <c r="G69" s="10" t="inlineStr">
        <is>
          <t>FAMILY_SETUP</t>
        </is>
      </c>
      <c r="H69" s="10" t="n">
        <v>0</v>
      </c>
      <c r="I69" s="10" t="n">
        <v>1</v>
      </c>
      <c r="J69" s="10" t="inlineStr">
        <is>
          <t>Data loading and semantic mapping</t>
        </is>
      </c>
      <c r="K69" s="17" t="n">
        <v>46183.36319444444</v>
      </c>
      <c r="L69" s="17" t="n">
        <v>46183.38402777778</v>
      </c>
      <c r="M69" s="12" t="n">
        <v>0</v>
      </c>
      <c r="N69" s="14">
        <f>IF(OR(K69="",L69=""),"",ROUND((L69-K69)*1440-N(M69),1))</f>
        <v/>
      </c>
      <c r="O69" s="17" t="n"/>
      <c r="P69" s="17" t="n"/>
      <c r="Q69" s="14">
        <f>IF(OR(O69="",P69=""),"",ROUND((P69-O69)*1440,1))</f>
        <v/>
      </c>
      <c r="R69" s="12" t="n"/>
      <c r="S69" s="12" t="inlineStr">
        <is>
          <t>Complete</t>
        </is>
      </c>
      <c r="T69" s="12" t="n"/>
      <c r="U69" s="12" t="n"/>
    </row>
    <row r="70">
      <c r="A70" s="10" t="inlineStr">
        <is>
          <t>OBS-066</t>
        </is>
      </c>
      <c r="B70" s="16" t="n">
        <v>46183</v>
      </c>
      <c r="C70" s="12" t="inlineStr">
        <is>
          <t>OP-001</t>
        </is>
      </c>
      <c r="D70" s="12" t="inlineStr">
        <is>
          <t>OBS-001</t>
        </is>
      </c>
      <c r="E70" s="10" t="inlineStr">
        <is>
          <t>Manual</t>
        </is>
      </c>
      <c r="F70" s="10" t="inlineStr">
        <is>
          <t>Cooling tower</t>
        </is>
      </c>
      <c r="G70" s="10" t="inlineStr">
        <is>
          <t>FAMILY_SETUP</t>
        </is>
      </c>
      <c r="H70" s="10" t="n">
        <v>0</v>
      </c>
      <c r="I70" s="10" t="n">
        <v>2</v>
      </c>
      <c r="J70" s="10" t="inlineStr">
        <is>
          <t>Valid model input table preparation</t>
        </is>
      </c>
      <c r="K70" s="17" t="n">
        <v>46183.3875</v>
      </c>
      <c r="L70" s="17" t="n">
        <v>46183.40833333333</v>
      </c>
      <c r="M70" s="12" t="n">
        <v>0</v>
      </c>
      <c r="N70" s="14">
        <f>IF(OR(K70="",L70=""),"",ROUND((L70-K70)*1440-N(M70),1))</f>
        <v/>
      </c>
      <c r="O70" s="17" t="n"/>
      <c r="P70" s="17" t="n"/>
      <c r="Q70" s="14">
        <f>IF(OR(O70="",P70=""),"",ROUND((P70-O70)*1440,1))</f>
        <v/>
      </c>
      <c r="R70" s="12" t="n"/>
      <c r="S70" s="12" t="inlineStr">
        <is>
          <t>Complete</t>
        </is>
      </c>
      <c r="T70" s="12" t="n"/>
      <c r="U70" s="12" t="n"/>
    </row>
    <row r="71">
      <c r="A71" s="10" t="inlineStr">
        <is>
          <t>OBS-067</t>
        </is>
      </c>
      <c r="B71" s="16" t="n">
        <v>46183</v>
      </c>
      <c r="C71" s="12" t="inlineStr">
        <is>
          <t>OP-001</t>
        </is>
      </c>
      <c r="D71" s="12" t="inlineStr">
        <is>
          <t>OBS-001</t>
        </is>
      </c>
      <c r="E71" s="10" t="inlineStr">
        <is>
          <t>Manual</t>
        </is>
      </c>
      <c r="F71" s="10" t="inlineStr">
        <is>
          <t>Cooling tower</t>
        </is>
      </c>
      <c r="G71" s="10" t="inlineStr">
        <is>
          <t>FAMILY_SETUP</t>
        </is>
      </c>
      <c r="H71" s="10" t="n">
        <v>0</v>
      </c>
      <c r="I71" s="10" t="n">
        <v>3</v>
      </c>
      <c r="J71" s="10" t="inlineStr">
        <is>
          <t>Modelica/FMU candidate setup</t>
        </is>
      </c>
      <c r="K71" s="17" t="n">
        <v>46183.41111111111</v>
      </c>
      <c r="L71" s="17" t="n">
        <v>46183.45833333334</v>
      </c>
      <c r="M71" s="12" t="n">
        <v>8</v>
      </c>
      <c r="N71" s="14">
        <f>IF(OR(K71="",L71=""),"",ROUND((L71-K71)*1440-N(M71),1))</f>
        <v/>
      </c>
      <c r="O71" s="17" t="n"/>
      <c r="P71" s="17" t="n"/>
      <c r="Q71" s="14">
        <f>IF(OR(O71="",P71=""),"",ROUND((P71-O71)*1440,1))</f>
        <v/>
      </c>
      <c r="R71" s="12" t="n"/>
      <c r="S71" s="12" t="inlineStr">
        <is>
          <t>Complete</t>
        </is>
      </c>
      <c r="T71" s="12" t="n"/>
      <c r="U71" s="12" t="n"/>
    </row>
    <row r="72">
      <c r="A72" s="10" t="inlineStr">
        <is>
          <t>OBS-068</t>
        </is>
      </c>
      <c r="B72" s="16" t="n">
        <v>46183</v>
      </c>
      <c r="C72" s="12" t="inlineStr">
        <is>
          <t>OP-001</t>
        </is>
      </c>
      <c r="D72" s="12" t="inlineStr">
        <is>
          <t>OBS-001</t>
        </is>
      </c>
      <c r="E72" s="10" t="inlineStr">
        <is>
          <t>Manual</t>
        </is>
      </c>
      <c r="F72" s="10" t="inlineStr">
        <is>
          <t>Cooling tower</t>
        </is>
      </c>
      <c r="G72" s="10" t="inlineStr">
        <is>
          <t>FAMILY_SETUP</t>
        </is>
      </c>
      <c r="H72" s="10" t="n">
        <v>0</v>
      </c>
      <c r="I72" s="10" t="n">
        <v>4</v>
      </c>
      <c r="J72" s="10" t="inlineStr">
        <is>
          <t>FMU parameter search</t>
        </is>
      </c>
      <c r="K72" s="17" t="n">
        <v>46183.46180555555</v>
      </c>
      <c r="L72" s="17" t="n">
        <v>46183.49722222222</v>
      </c>
      <c r="M72" s="12" t="n">
        <v>6</v>
      </c>
      <c r="N72" s="14">
        <f>IF(OR(K72="",L72=""),"",ROUND((L72-K72)*1440-N(M72),1))</f>
        <v/>
      </c>
      <c r="O72" s="17" t="n"/>
      <c r="P72" s="17" t="n"/>
      <c r="Q72" s="14">
        <f>IF(OR(O72="",P72=""),"",ROUND((P72-O72)*1440,1))</f>
        <v/>
      </c>
      <c r="R72" s="12" t="n"/>
      <c r="S72" s="12" t="inlineStr">
        <is>
          <t>Complete</t>
        </is>
      </c>
      <c r="T72" s="12" t="n"/>
      <c r="U72" s="12" t="n"/>
    </row>
    <row r="73">
      <c r="A73" s="10" t="inlineStr">
        <is>
          <t>OBS-069</t>
        </is>
      </c>
      <c r="B73" s="16" t="n">
        <v>46184</v>
      </c>
      <c r="C73" s="12" t="inlineStr">
        <is>
          <t>OP-001</t>
        </is>
      </c>
      <c r="D73" s="12" t="inlineStr">
        <is>
          <t>OBS-001</t>
        </is>
      </c>
      <c r="E73" s="10" t="inlineStr">
        <is>
          <t>Manual</t>
        </is>
      </c>
      <c r="F73" s="10" t="inlineStr">
        <is>
          <t>Cooling tower</t>
        </is>
      </c>
      <c r="G73" s="10" t="inlineStr">
        <is>
          <t>FAMILY_SETUP</t>
        </is>
      </c>
      <c r="H73" s="10" t="n">
        <v>0</v>
      </c>
      <c r="I73" s="10" t="n">
        <v>5</v>
      </c>
      <c r="J73" s="10" t="inlineStr">
        <is>
          <t>Full-period refinement and validation</t>
        </is>
      </c>
      <c r="K73" s="17" t="n">
        <v>46184.35833333333</v>
      </c>
      <c r="L73" s="17" t="n">
        <v>46184.38263888889</v>
      </c>
      <c r="M73" s="12" t="n">
        <v>0</v>
      </c>
      <c r="N73" s="14">
        <f>IF(OR(K73="",L73=""),"",ROUND((L73-K73)*1440-N(M73),1))</f>
        <v/>
      </c>
      <c r="O73" s="17" t="n"/>
      <c r="P73" s="17" t="n"/>
      <c r="Q73" s="14">
        <f>IF(OR(O73="",P73=""),"",ROUND((P73-O73)*1440,1))</f>
        <v/>
      </c>
      <c r="R73" s="12" t="n"/>
      <c r="S73" s="12" t="inlineStr">
        <is>
          <t>Complete</t>
        </is>
      </c>
      <c r="T73" s="12" t="n"/>
      <c r="U73" s="12" t="n"/>
    </row>
    <row r="74">
      <c r="A74" s="10" t="inlineStr">
        <is>
          <t>OBS-070</t>
        </is>
      </c>
      <c r="B74" s="16" t="n">
        <v>46184</v>
      </c>
      <c r="C74" s="12" t="inlineStr">
        <is>
          <t>OP-001</t>
        </is>
      </c>
      <c r="D74" s="12" t="inlineStr">
        <is>
          <t>OBS-001</t>
        </is>
      </c>
      <c r="E74" s="10" t="inlineStr">
        <is>
          <t>Manual</t>
        </is>
      </c>
      <c r="F74" s="10" t="inlineStr">
        <is>
          <t>Cooling tower</t>
        </is>
      </c>
      <c r="G74" s="10" t="inlineStr">
        <is>
          <t>FAMILY_SETUP</t>
        </is>
      </c>
      <c r="H74" s="10" t="n">
        <v>0</v>
      </c>
      <c r="I74" s="10" t="n">
        <v>6</v>
      </c>
      <c r="J74" s="10" t="inlineStr">
        <is>
          <t>Paper tables and figures</t>
        </is>
      </c>
      <c r="K74" s="17" t="n">
        <v>46184.38819444444</v>
      </c>
      <c r="L74" s="17" t="n">
        <v>46184.40208333333</v>
      </c>
      <c r="M74" s="12" t="n">
        <v>0</v>
      </c>
      <c r="N74" s="14">
        <f>IF(OR(K74="",L74=""),"",ROUND((L74-K74)*1440-N(M74),1))</f>
        <v/>
      </c>
      <c r="O74" s="17" t="n"/>
      <c r="P74" s="17" t="n"/>
      <c r="Q74" s="14">
        <f>IF(OR(O74="",P74=""),"",ROUND((P74-O74)*1440,1))</f>
        <v/>
      </c>
      <c r="R74" s="12" t="n"/>
      <c r="S74" s="12" t="inlineStr">
        <is>
          <t>Complete</t>
        </is>
      </c>
      <c r="T74" s="12" t="n"/>
      <c r="U74" s="12" t="n"/>
    </row>
    <row r="75">
      <c r="A75" s="10" t="inlineStr">
        <is>
          <t>OBS-071</t>
        </is>
      </c>
      <c r="B75" s="16" t="n">
        <v>46184</v>
      </c>
      <c r="C75" s="12" t="inlineStr">
        <is>
          <t>OP-001</t>
        </is>
      </c>
      <c r="D75" s="12" t="inlineStr">
        <is>
          <t>OBS-001</t>
        </is>
      </c>
      <c r="E75" s="10" t="inlineStr">
        <is>
          <t>Manual</t>
        </is>
      </c>
      <c r="F75" s="10" t="inlineStr">
        <is>
          <t>Cooling tower</t>
        </is>
      </c>
      <c r="G75" s="10" t="inlineStr">
        <is>
          <t>FAMILY_SETUP</t>
        </is>
      </c>
      <c r="H75" s="10" t="n">
        <v>0</v>
      </c>
      <c r="I75" s="15" t="n">
        <v>7</v>
      </c>
      <c r="J75" s="15" t="inlineStr">
        <is>
          <t>Observability and evidence-grade review</t>
        </is>
      </c>
      <c r="K75" s="17" t="n">
        <v>46184.40625</v>
      </c>
      <c r="L75" s="17" t="n">
        <v>46184.43402777778</v>
      </c>
      <c r="M75" s="12" t="n">
        <v>0</v>
      </c>
      <c r="N75" s="14">
        <f>IF(OR(K75="",L75=""),"",ROUND((L75-K75)*1440-N(M75),1))</f>
        <v/>
      </c>
      <c r="O75" s="17" t="n"/>
      <c r="P75" s="17" t="n"/>
      <c r="Q75" s="14">
        <f>IF(OR(O75="",P75=""),"",ROUND((P75-O75)*1440,1))</f>
        <v/>
      </c>
      <c r="R75" s="12" t="n"/>
      <c r="S75" s="12" t="inlineStr">
        <is>
          <t>Complete</t>
        </is>
      </c>
      <c r="T75" s="12" t="n"/>
      <c r="U75" s="12" t="n"/>
    </row>
    <row r="76">
      <c r="A76" s="10" t="inlineStr">
        <is>
          <t>OBS-072</t>
        </is>
      </c>
      <c r="B76" s="16" t="n">
        <v>46184</v>
      </c>
      <c r="C76" s="12" t="inlineStr">
        <is>
          <t>OP-001</t>
        </is>
      </c>
      <c r="D76" s="12" t="inlineStr">
        <is>
          <t>OBS-001</t>
        </is>
      </c>
      <c r="E76" s="10" t="inlineStr">
        <is>
          <t>Manual</t>
        </is>
      </c>
      <c r="F76" s="10" t="inlineStr">
        <is>
          <t>Cooling tower</t>
        </is>
      </c>
      <c r="G76" s="10" t="inlineStr">
        <is>
          <t>FAMILY_SETUP</t>
        </is>
      </c>
      <c r="H76" s="10" t="n">
        <v>0</v>
      </c>
      <c r="I76" s="15" t="n">
        <v>8</v>
      </c>
      <c r="J76" s="15" t="inlineStr">
        <is>
          <t>Temporal split definition and audit</t>
        </is>
      </c>
      <c r="K76" s="17" t="n">
        <v>46184.43611111111</v>
      </c>
      <c r="L76" s="17" t="n">
        <v>46184.45347222222</v>
      </c>
      <c r="M76" s="12" t="n">
        <v>0</v>
      </c>
      <c r="N76" s="14">
        <f>IF(OR(K76="",L76=""),"",ROUND((L76-K76)*1440-N(M76),1))</f>
        <v/>
      </c>
      <c r="O76" s="17" t="n"/>
      <c r="P76" s="17" t="n"/>
      <c r="Q76" s="14">
        <f>IF(OR(O76="",P76=""),"",ROUND((P76-O76)*1440,1))</f>
        <v/>
      </c>
      <c r="R76" s="12" t="n"/>
      <c r="S76" s="12" t="inlineStr">
        <is>
          <t>Complete</t>
        </is>
      </c>
      <c r="T76" s="12" t="n"/>
      <c r="U76" s="12" t="n"/>
    </row>
    <row r="77">
      <c r="A77" s="10" t="inlineStr">
        <is>
          <t>OBS-073</t>
        </is>
      </c>
      <c r="B77" s="16" t="n">
        <v>46184</v>
      </c>
      <c r="C77" s="12" t="inlineStr">
        <is>
          <t>OP-001</t>
        </is>
      </c>
      <c r="D77" s="12" t="inlineStr">
        <is>
          <t>OBS-001</t>
        </is>
      </c>
      <c r="E77" s="10" t="inlineStr">
        <is>
          <t>Manual</t>
        </is>
      </c>
      <c r="F77" s="10" t="inlineStr">
        <is>
          <t>Cooling tower</t>
        </is>
      </c>
      <c r="G77" s="10" t="inlineStr">
        <is>
          <t>CT_01</t>
        </is>
      </c>
      <c r="H77" s="10" t="n">
        <v>1</v>
      </c>
      <c r="I77" s="10" t="n">
        <v>1</v>
      </c>
      <c r="J77" s="10" t="inlineStr">
        <is>
          <t>Data loading and semantic mapping</t>
        </is>
      </c>
      <c r="K77" s="17" t="n">
        <v>46184.45902777778</v>
      </c>
      <c r="L77" s="17" t="n">
        <v>46184.48541666667</v>
      </c>
      <c r="M77" s="12" t="n">
        <v>3</v>
      </c>
      <c r="N77" s="14">
        <f>IF(OR(K77="",L77=""),"",ROUND((L77-K77)*1440-N(M77),1))</f>
        <v/>
      </c>
      <c r="O77" s="17" t="n"/>
      <c r="P77" s="17" t="n"/>
      <c r="Q77" s="14">
        <f>IF(OR(O77="",P77=""),"",ROUND((P77-O77)*1440,1))</f>
        <v/>
      </c>
      <c r="R77" s="12" t="n"/>
      <c r="S77" s="12" t="inlineStr">
        <is>
          <t>Complete</t>
        </is>
      </c>
      <c r="T77" s="12" t="n"/>
      <c r="U77" s="12" t="n"/>
    </row>
    <row r="78">
      <c r="A78" s="10" t="inlineStr">
        <is>
          <t>OBS-074</t>
        </is>
      </c>
      <c r="B78" s="16" t="n">
        <v>46184</v>
      </c>
      <c r="C78" s="12" t="inlineStr">
        <is>
          <t>OP-001</t>
        </is>
      </c>
      <c r="D78" s="12" t="inlineStr">
        <is>
          <t>OBS-001</t>
        </is>
      </c>
      <c r="E78" s="10" t="inlineStr">
        <is>
          <t>Manual</t>
        </is>
      </c>
      <c r="F78" s="10" t="inlineStr">
        <is>
          <t>Cooling tower</t>
        </is>
      </c>
      <c r="G78" s="10" t="inlineStr">
        <is>
          <t>CT_01</t>
        </is>
      </c>
      <c r="H78" s="10" t="n">
        <v>1</v>
      </c>
      <c r="I78" s="10" t="n">
        <v>2</v>
      </c>
      <c r="J78" s="10" t="inlineStr">
        <is>
          <t>Valid model input table preparation</t>
        </is>
      </c>
      <c r="K78" s="17" t="n">
        <v>46184.55277777778</v>
      </c>
      <c r="L78" s="17" t="n">
        <v>46184.58819444444</v>
      </c>
      <c r="M78" s="12" t="n">
        <v>6</v>
      </c>
      <c r="N78" s="14">
        <f>IF(OR(K78="",L78=""),"",ROUND((L78-K78)*1440-N(M78),1))</f>
        <v/>
      </c>
      <c r="O78" s="17" t="n"/>
      <c r="P78" s="17" t="n"/>
      <c r="Q78" s="14">
        <f>IF(OR(O78="",P78=""),"",ROUND((P78-O78)*1440,1))</f>
        <v/>
      </c>
      <c r="R78" s="12" t="n"/>
      <c r="S78" s="12" t="inlineStr">
        <is>
          <t>Complete</t>
        </is>
      </c>
      <c r="T78" s="12" t="n"/>
      <c r="U78" s="12" t="n"/>
    </row>
    <row r="79">
      <c r="A79" s="10" t="inlineStr">
        <is>
          <t>OBS-075</t>
        </is>
      </c>
      <c r="B79" s="16" t="n">
        <v>46184</v>
      </c>
      <c r="C79" s="12" t="inlineStr">
        <is>
          <t>OP-001</t>
        </is>
      </c>
      <c r="D79" s="12" t="inlineStr">
        <is>
          <t>OBS-001</t>
        </is>
      </c>
      <c r="E79" s="10" t="inlineStr">
        <is>
          <t>Manual</t>
        </is>
      </c>
      <c r="F79" s="10" t="inlineStr">
        <is>
          <t>Cooling tower</t>
        </is>
      </c>
      <c r="G79" s="10" t="inlineStr">
        <is>
          <t>CT_01</t>
        </is>
      </c>
      <c r="H79" s="10" t="n">
        <v>1</v>
      </c>
      <c r="I79" s="10" t="n">
        <v>3</v>
      </c>
      <c r="J79" s="10" t="inlineStr">
        <is>
          <t>Modelica/FMU candidate setup</t>
        </is>
      </c>
      <c r="K79" s="17" t="n">
        <v>46184.59375</v>
      </c>
      <c r="L79" s="17" t="n">
        <v>46184.64861111111</v>
      </c>
      <c r="M79" s="12" t="n">
        <v>4</v>
      </c>
      <c r="N79" s="14">
        <f>IF(OR(K79="",L79=""),"",ROUND((L79-K79)*1440-N(M79),1))</f>
        <v/>
      </c>
      <c r="O79" s="17" t="n"/>
      <c r="P79" s="17" t="n"/>
      <c r="Q79" s="14">
        <f>IF(OR(O79="",P79=""),"",ROUND((P79-O79)*1440,1))</f>
        <v/>
      </c>
      <c r="R79" s="12" t="n"/>
      <c r="S79" s="12" t="inlineStr">
        <is>
          <t>Complete</t>
        </is>
      </c>
      <c r="T79" s="12" t="n"/>
      <c r="U79" s="12" t="n"/>
    </row>
    <row r="80">
      <c r="A80" s="10" t="inlineStr">
        <is>
          <t>OBS-076</t>
        </is>
      </c>
      <c r="B80" s="16" t="n">
        <v>46184</v>
      </c>
      <c r="C80" s="12" t="inlineStr">
        <is>
          <t>OP-001</t>
        </is>
      </c>
      <c r="D80" s="12" t="inlineStr">
        <is>
          <t>OBS-001</t>
        </is>
      </c>
      <c r="E80" s="10" t="inlineStr">
        <is>
          <t>Manual</t>
        </is>
      </c>
      <c r="F80" s="10" t="inlineStr">
        <is>
          <t>Cooling tower</t>
        </is>
      </c>
      <c r="G80" s="10" t="inlineStr">
        <is>
          <t>CT_01</t>
        </is>
      </c>
      <c r="H80" s="10" t="n">
        <v>1</v>
      </c>
      <c r="I80" s="10" t="n">
        <v>4</v>
      </c>
      <c r="J80" s="10" t="inlineStr">
        <is>
          <t>FMU parameter search</t>
        </is>
      </c>
      <c r="K80" s="17" t="n">
        <v>46184.65555555555</v>
      </c>
      <c r="L80" s="17" t="n">
        <v>46184.75972222222</v>
      </c>
      <c r="M80" s="12" t="n">
        <v>15</v>
      </c>
      <c r="N80" s="14">
        <f>IF(OR(K80="",L80=""),"",ROUND((L80-K80)*1440-N(M80),1))</f>
        <v/>
      </c>
      <c r="O80" s="17" t="n"/>
      <c r="P80" s="17" t="n"/>
      <c r="Q80" s="14">
        <f>IF(OR(O80="",P80=""),"",ROUND((P80-O80)*1440,1))</f>
        <v/>
      </c>
      <c r="R80" s="12" t="n"/>
      <c r="S80" s="12" t="inlineStr">
        <is>
          <t>Complete</t>
        </is>
      </c>
      <c r="T80" s="12" t="n"/>
      <c r="U80" s="12" t="n"/>
    </row>
    <row r="81">
      <c r="A81" s="10" t="inlineStr">
        <is>
          <t>OBS-077</t>
        </is>
      </c>
      <c r="B81" s="16" t="n">
        <v>46185</v>
      </c>
      <c r="C81" s="12" t="inlineStr">
        <is>
          <t>OP-001</t>
        </is>
      </c>
      <c r="D81" s="12" t="inlineStr">
        <is>
          <t>OBS-001</t>
        </is>
      </c>
      <c r="E81" s="10" t="inlineStr">
        <is>
          <t>Manual</t>
        </is>
      </c>
      <c r="F81" s="10" t="inlineStr">
        <is>
          <t>Cooling tower</t>
        </is>
      </c>
      <c r="G81" s="10" t="inlineStr">
        <is>
          <t>CT_01</t>
        </is>
      </c>
      <c r="H81" s="10" t="n">
        <v>1</v>
      </c>
      <c r="I81" s="10" t="n">
        <v>5</v>
      </c>
      <c r="J81" s="10" t="inlineStr">
        <is>
          <t>Full-period refinement and validation</t>
        </is>
      </c>
      <c r="K81" s="17" t="n">
        <v>46185.36388888889</v>
      </c>
      <c r="L81" s="17" t="n">
        <v>46185.41944444444</v>
      </c>
      <c r="M81" s="12" t="n">
        <v>5</v>
      </c>
      <c r="N81" s="14">
        <f>IF(OR(K81="",L81=""),"",ROUND((L81-K81)*1440-N(M81),1))</f>
        <v/>
      </c>
      <c r="O81" s="17" t="n"/>
      <c r="P81" s="17" t="n"/>
      <c r="Q81" s="14">
        <f>IF(OR(O81="",P81=""),"",ROUND((P81-O81)*1440,1))</f>
        <v/>
      </c>
      <c r="R81" s="12" t="n"/>
      <c r="S81" s="12" t="inlineStr">
        <is>
          <t>Complete</t>
        </is>
      </c>
      <c r="T81" s="12" t="n"/>
      <c r="U81" s="12" t="n"/>
    </row>
    <row r="82">
      <c r="A82" s="10" t="inlineStr">
        <is>
          <t>OBS-078</t>
        </is>
      </c>
      <c r="B82" s="16" t="n">
        <v>46185</v>
      </c>
      <c r="C82" s="12" t="inlineStr">
        <is>
          <t>OP-001</t>
        </is>
      </c>
      <c r="D82" s="12" t="inlineStr">
        <is>
          <t>OBS-001</t>
        </is>
      </c>
      <c r="E82" s="10" t="inlineStr">
        <is>
          <t>Manual</t>
        </is>
      </c>
      <c r="F82" s="10" t="inlineStr">
        <is>
          <t>Cooling tower</t>
        </is>
      </c>
      <c r="G82" s="10" t="inlineStr">
        <is>
          <t>CT_01</t>
        </is>
      </c>
      <c r="H82" s="10" t="n">
        <v>1</v>
      </c>
      <c r="I82" s="10" t="n">
        <v>6</v>
      </c>
      <c r="J82" s="10" t="inlineStr">
        <is>
          <t>Paper tables and figures</t>
        </is>
      </c>
      <c r="K82" s="17" t="n">
        <v>46185.42777777778</v>
      </c>
      <c r="L82" s="17" t="n">
        <v>46185.44861111111</v>
      </c>
      <c r="M82" s="12" t="n">
        <v>0</v>
      </c>
      <c r="N82" s="14">
        <f>IF(OR(K82="",L82=""),"",ROUND((L82-K82)*1440-N(M82),1))</f>
        <v/>
      </c>
      <c r="O82" s="17" t="n"/>
      <c r="P82" s="17" t="n"/>
      <c r="Q82" s="14">
        <f>IF(OR(O82="",P82=""),"",ROUND((P82-O82)*1440,1))</f>
        <v/>
      </c>
      <c r="R82" s="12" t="n"/>
      <c r="S82" s="12" t="inlineStr">
        <is>
          <t>Complete</t>
        </is>
      </c>
      <c r="T82" s="12" t="n"/>
      <c r="U82" s="12" t="n"/>
    </row>
    <row r="83">
      <c r="A83" s="10" t="inlineStr">
        <is>
          <t>OBS-079</t>
        </is>
      </c>
      <c r="B83" s="16" t="n">
        <v>46185</v>
      </c>
      <c r="C83" s="12" t="inlineStr">
        <is>
          <t>OP-001</t>
        </is>
      </c>
      <c r="D83" s="12" t="inlineStr">
        <is>
          <t>OBS-001</t>
        </is>
      </c>
      <c r="E83" s="10" t="inlineStr">
        <is>
          <t>Manual</t>
        </is>
      </c>
      <c r="F83" s="10" t="inlineStr">
        <is>
          <t>Cooling tower</t>
        </is>
      </c>
      <c r="G83" s="10" t="inlineStr">
        <is>
          <t>CT_01</t>
        </is>
      </c>
      <c r="H83" s="10" t="n">
        <v>1</v>
      </c>
      <c r="I83" s="15" t="n">
        <v>7</v>
      </c>
      <c r="J83" s="15" t="inlineStr">
        <is>
          <t>Observability and evidence-grade review</t>
        </is>
      </c>
      <c r="K83" s="17" t="n">
        <v>46185.45486111111</v>
      </c>
      <c r="L83" s="17" t="n">
        <v>46185.48819444444</v>
      </c>
      <c r="M83" s="12" t="n">
        <v>3</v>
      </c>
      <c r="N83" s="14">
        <f>IF(OR(K83="",L83=""),"",ROUND((L83-K83)*1440-N(M83),1))</f>
        <v/>
      </c>
      <c r="O83" s="17" t="n"/>
      <c r="P83" s="17" t="n"/>
      <c r="Q83" s="14">
        <f>IF(OR(O83="",P83=""),"",ROUND((P83-O83)*1440,1))</f>
        <v/>
      </c>
      <c r="R83" s="12" t="n"/>
      <c r="S83" s="12" t="inlineStr">
        <is>
          <t>Complete</t>
        </is>
      </c>
      <c r="T83" s="12" t="n"/>
      <c r="U83" s="12" t="n"/>
    </row>
    <row r="84">
      <c r="A84" s="10" t="inlineStr">
        <is>
          <t>OBS-080</t>
        </is>
      </c>
      <c r="B84" s="16" t="n">
        <v>46185</v>
      </c>
      <c r="C84" s="12" t="inlineStr">
        <is>
          <t>OP-001</t>
        </is>
      </c>
      <c r="D84" s="12" t="inlineStr">
        <is>
          <t>OBS-001</t>
        </is>
      </c>
      <c r="E84" s="10" t="inlineStr">
        <is>
          <t>Manual</t>
        </is>
      </c>
      <c r="F84" s="10" t="inlineStr">
        <is>
          <t>Cooling tower</t>
        </is>
      </c>
      <c r="G84" s="10" t="inlineStr">
        <is>
          <t>CT_01</t>
        </is>
      </c>
      <c r="H84" s="10" t="n">
        <v>1</v>
      </c>
      <c r="I84" s="15" t="n">
        <v>8</v>
      </c>
      <c r="J84" s="15" t="inlineStr">
        <is>
          <t>Temporal split definition and audit</t>
        </is>
      </c>
      <c r="K84" s="17" t="n">
        <v>46185.55902777778</v>
      </c>
      <c r="L84" s="17" t="n">
        <v>46185.58333333334</v>
      </c>
      <c r="M84" s="12" t="n">
        <v>0</v>
      </c>
      <c r="N84" s="14">
        <f>IF(OR(K84="",L84=""),"",ROUND((L84-K84)*1440-N(M84),1))</f>
        <v/>
      </c>
      <c r="O84" s="17" t="n"/>
      <c r="P84" s="17" t="n"/>
      <c r="Q84" s="14">
        <f>IF(OR(O84="",P84=""),"",ROUND((P84-O84)*1440,1))</f>
        <v/>
      </c>
      <c r="R84" s="12" t="n"/>
      <c r="S84" s="12" t="inlineStr">
        <is>
          <t>Complete</t>
        </is>
      </c>
      <c r="T84" s="12" t="n"/>
      <c r="U84" s="12" t="n"/>
    </row>
    <row r="85">
      <c r="A85" s="10" t="inlineStr">
        <is>
          <t>OBS-081</t>
        </is>
      </c>
      <c r="B85" s="16" t="n">
        <v>46185</v>
      </c>
      <c r="C85" s="12" t="inlineStr">
        <is>
          <t>OP-001</t>
        </is>
      </c>
      <c r="D85" s="12" t="inlineStr">
        <is>
          <t>OBS-001</t>
        </is>
      </c>
      <c r="E85" s="10" t="inlineStr">
        <is>
          <t>Manual</t>
        </is>
      </c>
      <c r="F85" s="10" t="inlineStr">
        <is>
          <t>Cooling tower</t>
        </is>
      </c>
      <c r="G85" s="10" t="inlineStr">
        <is>
          <t>CT_05</t>
        </is>
      </c>
      <c r="H85" s="10" t="n">
        <v>2</v>
      </c>
      <c r="I85" s="10" t="n">
        <v>1</v>
      </c>
      <c r="J85" s="10" t="inlineStr">
        <is>
          <t>Data loading and semantic mapping</t>
        </is>
      </c>
      <c r="K85" s="17" t="n">
        <v>46185.58541666667</v>
      </c>
      <c r="L85" s="17" t="n">
        <v>46185.60486111111</v>
      </c>
      <c r="M85" s="12" t="n">
        <v>0</v>
      </c>
      <c r="N85" s="14">
        <f>IF(OR(K85="",L85=""),"",ROUND((L85-K85)*1440-N(M85),1))</f>
        <v/>
      </c>
      <c r="O85" s="17" t="n"/>
      <c r="P85" s="17" t="n"/>
      <c r="Q85" s="14">
        <f>IF(OR(O85="",P85=""),"",ROUND((P85-O85)*1440,1))</f>
        <v/>
      </c>
      <c r="R85" s="12" t="n"/>
      <c r="S85" s="12" t="inlineStr">
        <is>
          <t>Complete</t>
        </is>
      </c>
      <c r="T85" s="12" t="n"/>
      <c r="U85" s="12" t="n"/>
    </row>
    <row r="86">
      <c r="A86" s="10" t="inlineStr">
        <is>
          <t>OBS-082</t>
        </is>
      </c>
      <c r="B86" s="16" t="n">
        <v>46185</v>
      </c>
      <c r="C86" s="12" t="inlineStr">
        <is>
          <t>OP-001</t>
        </is>
      </c>
      <c r="D86" s="12" t="inlineStr">
        <is>
          <t>OBS-001</t>
        </is>
      </c>
      <c r="E86" s="10" t="inlineStr">
        <is>
          <t>Manual</t>
        </is>
      </c>
      <c r="F86" s="10" t="inlineStr">
        <is>
          <t>Cooling tower</t>
        </is>
      </c>
      <c r="G86" s="10" t="inlineStr">
        <is>
          <t>CT_05</t>
        </is>
      </c>
      <c r="H86" s="10" t="n">
        <v>2</v>
      </c>
      <c r="I86" s="10" t="n">
        <v>2</v>
      </c>
      <c r="J86" s="10" t="inlineStr">
        <is>
          <t>Valid model input table preparation</t>
        </is>
      </c>
      <c r="K86" s="17" t="n">
        <v>46185.60763888889</v>
      </c>
      <c r="L86" s="17" t="n">
        <v>46185.63263888889</v>
      </c>
      <c r="M86" s="12" t="n">
        <v>0</v>
      </c>
      <c r="N86" s="14">
        <f>IF(OR(K86="",L86=""),"",ROUND((L86-K86)*1440-N(M86),1))</f>
        <v/>
      </c>
      <c r="O86" s="17" t="n"/>
      <c r="P86" s="17" t="n"/>
      <c r="Q86" s="14">
        <f>IF(OR(O86="",P86=""),"",ROUND((P86-O86)*1440,1))</f>
        <v/>
      </c>
      <c r="R86" s="12" t="n"/>
      <c r="S86" s="12" t="inlineStr">
        <is>
          <t>Complete</t>
        </is>
      </c>
      <c r="T86" s="12" t="n"/>
      <c r="U86" s="12" t="n"/>
    </row>
    <row r="87">
      <c r="A87" s="10" t="inlineStr">
        <is>
          <t>OBS-083</t>
        </is>
      </c>
      <c r="B87" s="16" t="n">
        <v>46185</v>
      </c>
      <c r="C87" s="12" t="inlineStr">
        <is>
          <t>OP-001</t>
        </is>
      </c>
      <c r="D87" s="12" t="inlineStr">
        <is>
          <t>OBS-001</t>
        </is>
      </c>
      <c r="E87" s="10" t="inlineStr">
        <is>
          <t>Manual</t>
        </is>
      </c>
      <c r="F87" s="10" t="inlineStr">
        <is>
          <t>Cooling tower</t>
        </is>
      </c>
      <c r="G87" s="10" t="inlineStr">
        <is>
          <t>CT_05</t>
        </is>
      </c>
      <c r="H87" s="10" t="n">
        <v>2</v>
      </c>
      <c r="I87" s="10" t="n">
        <v>3</v>
      </c>
      <c r="J87" s="10" t="inlineStr">
        <is>
          <t>Modelica/FMU candidate setup</t>
        </is>
      </c>
      <c r="K87" s="17" t="n">
        <v>46185.64305555556</v>
      </c>
      <c r="L87" s="17" t="n">
        <v>46185.67430555556</v>
      </c>
      <c r="M87" s="12" t="n">
        <v>0</v>
      </c>
      <c r="N87" s="14">
        <f>IF(OR(K87="",L87=""),"",ROUND((L87-K87)*1440-N(M87),1))</f>
        <v/>
      </c>
      <c r="O87" s="17" t="n"/>
      <c r="P87" s="17" t="n"/>
      <c r="Q87" s="14">
        <f>IF(OR(O87="",P87=""),"",ROUND((P87-O87)*1440,1))</f>
        <v/>
      </c>
      <c r="R87" s="12" t="n"/>
      <c r="S87" s="12" t="inlineStr">
        <is>
          <t>Complete</t>
        </is>
      </c>
      <c r="T87" s="12" t="n"/>
      <c r="U87" s="12" t="n"/>
    </row>
    <row r="88">
      <c r="A88" s="10" t="inlineStr">
        <is>
          <t>OBS-084</t>
        </is>
      </c>
      <c r="B88" s="16" t="n">
        <v>46185</v>
      </c>
      <c r="C88" s="12" t="inlineStr">
        <is>
          <t>OP-001</t>
        </is>
      </c>
      <c r="D88" s="12" t="inlineStr">
        <is>
          <t>OBS-001</t>
        </is>
      </c>
      <c r="E88" s="10" t="inlineStr">
        <is>
          <t>Manual</t>
        </is>
      </c>
      <c r="F88" s="10" t="inlineStr">
        <is>
          <t>Cooling tower</t>
        </is>
      </c>
      <c r="G88" s="10" t="inlineStr">
        <is>
          <t>CT_05</t>
        </is>
      </c>
      <c r="H88" s="10" t="n">
        <v>2</v>
      </c>
      <c r="I88" s="10" t="n">
        <v>4</v>
      </c>
      <c r="J88" s="10" t="inlineStr">
        <is>
          <t>FMU parameter search</t>
        </is>
      </c>
      <c r="K88" s="17" t="n">
        <v>46185.67777777778</v>
      </c>
      <c r="L88" s="17" t="n">
        <v>46185.73611111111</v>
      </c>
      <c r="M88" s="12" t="n">
        <v>4</v>
      </c>
      <c r="N88" s="14">
        <f>IF(OR(K88="",L88=""),"",ROUND((L88-K88)*1440-N(M88),1))</f>
        <v/>
      </c>
      <c r="O88" s="17" t="n"/>
      <c r="P88" s="17" t="n"/>
      <c r="Q88" s="14">
        <f>IF(OR(O88="",P88=""),"",ROUND((P88-O88)*1440,1))</f>
        <v/>
      </c>
      <c r="R88" s="12" t="n"/>
      <c r="S88" s="12" t="inlineStr">
        <is>
          <t>Complete</t>
        </is>
      </c>
      <c r="T88" s="12" t="n"/>
      <c r="U88" s="12" t="n"/>
    </row>
    <row r="89">
      <c r="A89" s="10" t="inlineStr">
        <is>
          <t>OBS-085</t>
        </is>
      </c>
      <c r="B89" s="16" t="n">
        <v>46188</v>
      </c>
      <c r="C89" s="12" t="inlineStr">
        <is>
          <t>OP-001</t>
        </is>
      </c>
      <c r="D89" s="12" t="inlineStr">
        <is>
          <t>OBS-001</t>
        </is>
      </c>
      <c r="E89" s="10" t="inlineStr">
        <is>
          <t>Manual</t>
        </is>
      </c>
      <c r="F89" s="10" t="inlineStr">
        <is>
          <t>Cooling tower</t>
        </is>
      </c>
      <c r="G89" s="10" t="inlineStr">
        <is>
          <t>CT_05</t>
        </is>
      </c>
      <c r="H89" s="10" t="n">
        <v>2</v>
      </c>
      <c r="I89" s="10" t="n">
        <v>5</v>
      </c>
      <c r="J89" s="10" t="inlineStr">
        <is>
          <t>Full-period refinement and validation</t>
        </is>
      </c>
      <c r="K89" s="17" t="n">
        <v>46188.35486111111</v>
      </c>
      <c r="L89" s="17" t="n">
        <v>46188.39305555556</v>
      </c>
      <c r="M89" s="12" t="n">
        <v>0</v>
      </c>
      <c r="N89" s="14">
        <f>IF(OR(K89="",L89=""),"",ROUND((L89-K89)*1440-N(M89),1))</f>
        <v/>
      </c>
      <c r="O89" s="17" t="n"/>
      <c r="P89" s="17" t="n"/>
      <c r="Q89" s="14">
        <f>IF(OR(O89="",P89=""),"",ROUND((P89-O89)*1440,1))</f>
        <v/>
      </c>
      <c r="R89" s="12" t="n"/>
      <c r="S89" s="12" t="inlineStr">
        <is>
          <t>Complete</t>
        </is>
      </c>
      <c r="T89" s="12" t="n"/>
      <c r="U89" s="12" t="n"/>
    </row>
    <row r="90">
      <c r="A90" s="10" t="inlineStr">
        <is>
          <t>OBS-086</t>
        </is>
      </c>
      <c r="B90" s="16" t="n">
        <v>46188</v>
      </c>
      <c r="C90" s="12" t="inlineStr">
        <is>
          <t>OP-001</t>
        </is>
      </c>
      <c r="D90" s="12" t="inlineStr">
        <is>
          <t>OBS-001</t>
        </is>
      </c>
      <c r="E90" s="10" t="inlineStr">
        <is>
          <t>Manual</t>
        </is>
      </c>
      <c r="F90" s="10" t="inlineStr">
        <is>
          <t>Cooling tower</t>
        </is>
      </c>
      <c r="G90" s="10" t="inlineStr">
        <is>
          <t>CT_05</t>
        </is>
      </c>
      <c r="H90" s="10" t="n">
        <v>2</v>
      </c>
      <c r="I90" s="10" t="n">
        <v>6</v>
      </c>
      <c r="J90" s="10" t="inlineStr">
        <is>
          <t>Paper tables and figures</t>
        </is>
      </c>
      <c r="K90" s="17" t="n">
        <v>46188.39930555555</v>
      </c>
      <c r="L90" s="17" t="n">
        <v>46188.41597222222</v>
      </c>
      <c r="M90" s="12" t="n">
        <v>0</v>
      </c>
      <c r="N90" s="14">
        <f>IF(OR(K90="",L90=""),"",ROUND((L90-K90)*1440-N(M90),1))</f>
        <v/>
      </c>
      <c r="O90" s="17" t="n"/>
      <c r="P90" s="17" t="n"/>
      <c r="Q90" s="14">
        <f>IF(OR(O90="",P90=""),"",ROUND((P90-O90)*1440,1))</f>
        <v/>
      </c>
      <c r="R90" s="12" t="n"/>
      <c r="S90" s="12" t="inlineStr">
        <is>
          <t>Complete</t>
        </is>
      </c>
      <c r="T90" s="12" t="n"/>
      <c r="U90" s="12" t="n"/>
    </row>
    <row r="91">
      <c r="A91" s="10" t="inlineStr">
        <is>
          <t>OBS-087</t>
        </is>
      </c>
      <c r="B91" s="16" t="n">
        <v>46188</v>
      </c>
      <c r="C91" s="12" t="inlineStr">
        <is>
          <t>OP-001</t>
        </is>
      </c>
      <c r="D91" s="12" t="inlineStr">
        <is>
          <t>OBS-001</t>
        </is>
      </c>
      <c r="E91" s="10" t="inlineStr">
        <is>
          <t>Manual</t>
        </is>
      </c>
      <c r="F91" s="10" t="inlineStr">
        <is>
          <t>Cooling tower</t>
        </is>
      </c>
      <c r="G91" s="10" t="inlineStr">
        <is>
          <t>CT_05</t>
        </is>
      </c>
      <c r="H91" s="10" t="n">
        <v>2</v>
      </c>
      <c r="I91" s="15" t="n">
        <v>7</v>
      </c>
      <c r="J91" s="15" t="inlineStr">
        <is>
          <t>Observability and evidence-grade review</t>
        </is>
      </c>
      <c r="K91" s="17" t="n">
        <v>46188.42291666667</v>
      </c>
      <c r="L91" s="17" t="n">
        <v>46188.44722222222</v>
      </c>
      <c r="M91" s="12" t="n">
        <v>0</v>
      </c>
      <c r="N91" s="14">
        <f>IF(OR(K91="",L91=""),"",ROUND((L91-K91)*1440-N(M91),1))</f>
        <v/>
      </c>
      <c r="O91" s="17" t="n"/>
      <c r="P91" s="17" t="n"/>
      <c r="Q91" s="14">
        <f>IF(OR(O91="",P91=""),"",ROUND((P91-O91)*1440,1))</f>
        <v/>
      </c>
      <c r="R91" s="12" t="n"/>
      <c r="S91" s="12" t="inlineStr">
        <is>
          <t>Complete</t>
        </is>
      </c>
      <c r="T91" s="12" t="n"/>
      <c r="U91" s="12" t="n"/>
    </row>
    <row r="92">
      <c r="A92" s="10" t="inlineStr">
        <is>
          <t>OBS-088</t>
        </is>
      </c>
      <c r="B92" s="16" t="n">
        <v>46188</v>
      </c>
      <c r="C92" s="12" t="inlineStr">
        <is>
          <t>OP-001</t>
        </is>
      </c>
      <c r="D92" s="12" t="inlineStr">
        <is>
          <t>OBS-001</t>
        </is>
      </c>
      <c r="E92" s="10" t="inlineStr">
        <is>
          <t>Manual</t>
        </is>
      </c>
      <c r="F92" s="10" t="inlineStr">
        <is>
          <t>Cooling tower</t>
        </is>
      </c>
      <c r="G92" s="10" t="inlineStr">
        <is>
          <t>CT_05</t>
        </is>
      </c>
      <c r="H92" s="10" t="n">
        <v>2</v>
      </c>
      <c r="I92" s="15" t="n">
        <v>8</v>
      </c>
      <c r="J92" s="15" t="inlineStr">
        <is>
          <t>Temporal split definition and audit</t>
        </is>
      </c>
      <c r="K92" s="17" t="n">
        <v>46188.45347222222</v>
      </c>
      <c r="L92" s="17" t="n">
        <v>46188.47291666667</v>
      </c>
      <c r="M92" s="12" t="n">
        <v>0</v>
      </c>
      <c r="N92" s="14">
        <f>IF(OR(K92="",L92=""),"",ROUND((L92-K92)*1440-N(M92),1))</f>
        <v/>
      </c>
      <c r="O92" s="17" t="n"/>
      <c r="P92" s="17" t="n"/>
      <c r="Q92" s="14">
        <f>IF(OR(O92="",P92=""),"",ROUND((P92-O92)*1440,1))</f>
        <v/>
      </c>
      <c r="R92" s="12" t="n"/>
      <c r="S92" s="12" t="inlineStr">
        <is>
          <t>Complete</t>
        </is>
      </c>
      <c r="T92" s="12" t="n"/>
      <c r="U92" s="12" t="n"/>
    </row>
    <row r="93">
      <c r="A93" s="10" t="inlineStr">
        <is>
          <t>OBS-089</t>
        </is>
      </c>
      <c r="B93" s="16" t="n">
        <v>46188</v>
      </c>
      <c r="C93" s="12" t="inlineStr">
        <is>
          <t>OP-001</t>
        </is>
      </c>
      <c r="D93" s="12" t="inlineStr">
        <is>
          <t>OBS-001</t>
        </is>
      </c>
      <c r="E93" s="10" t="inlineStr">
        <is>
          <t>Manual</t>
        </is>
      </c>
      <c r="F93" s="10" t="inlineStr">
        <is>
          <t>Cooling tower</t>
        </is>
      </c>
      <c r="G93" s="10" t="inlineStr">
        <is>
          <t>CT_02</t>
        </is>
      </c>
      <c r="H93" s="10" t="n">
        <v>3</v>
      </c>
      <c r="I93" s="10" t="n">
        <v>1</v>
      </c>
      <c r="J93" s="10" t="inlineStr">
        <is>
          <t>Data loading and semantic mapping</t>
        </is>
      </c>
      <c r="K93" s="17" t="n">
        <v>46188.47916666666</v>
      </c>
      <c r="L93" s="17" t="n">
        <v>46188.49861111111</v>
      </c>
      <c r="M93" s="12" t="n">
        <v>0</v>
      </c>
      <c r="N93" s="14">
        <f>IF(OR(K93="",L93=""),"",ROUND((L93-K93)*1440-N(M93),1))</f>
        <v/>
      </c>
      <c r="O93" s="17" t="n"/>
      <c r="P93" s="17" t="n"/>
      <c r="Q93" s="14">
        <f>IF(OR(O93="",P93=""),"",ROUND((P93-O93)*1440,1))</f>
        <v/>
      </c>
      <c r="R93" s="12" t="n"/>
      <c r="S93" s="12" t="inlineStr">
        <is>
          <t>Complete</t>
        </is>
      </c>
      <c r="T93" s="12" t="n"/>
      <c r="U93" s="12" t="n"/>
    </row>
    <row r="94">
      <c r="A94" s="10" t="inlineStr">
        <is>
          <t>OBS-090</t>
        </is>
      </c>
      <c r="B94" s="16" t="n">
        <v>46188</v>
      </c>
      <c r="C94" s="12" t="inlineStr">
        <is>
          <t>OP-001</t>
        </is>
      </c>
      <c r="D94" s="12" t="inlineStr">
        <is>
          <t>OBS-001</t>
        </is>
      </c>
      <c r="E94" s="10" t="inlineStr">
        <is>
          <t>Manual</t>
        </is>
      </c>
      <c r="F94" s="10" t="inlineStr">
        <is>
          <t>Cooling tower</t>
        </is>
      </c>
      <c r="G94" s="10" t="inlineStr">
        <is>
          <t>CT_02</t>
        </is>
      </c>
      <c r="H94" s="10" t="n">
        <v>3</v>
      </c>
      <c r="I94" s="10" t="n">
        <v>2</v>
      </c>
      <c r="J94" s="10" t="inlineStr">
        <is>
          <t>Valid model input table preparation</t>
        </is>
      </c>
      <c r="K94" s="17" t="n">
        <v>46188.55625</v>
      </c>
      <c r="L94" s="17" t="n">
        <v>46188.58055555556</v>
      </c>
      <c r="M94" s="12" t="n">
        <v>0</v>
      </c>
      <c r="N94" s="14">
        <f>IF(OR(K94="",L94=""),"",ROUND((L94-K94)*1440-N(M94),1))</f>
        <v/>
      </c>
      <c r="O94" s="17" t="n"/>
      <c r="P94" s="17" t="n"/>
      <c r="Q94" s="14">
        <f>IF(OR(O94="",P94=""),"",ROUND((P94-O94)*1440,1))</f>
        <v/>
      </c>
      <c r="R94" s="12" t="n"/>
      <c r="S94" s="12" t="inlineStr">
        <is>
          <t>Complete</t>
        </is>
      </c>
      <c r="T94" s="12" t="n"/>
      <c r="U94" s="12" t="n"/>
    </row>
    <row r="95">
      <c r="A95" s="10" t="inlineStr">
        <is>
          <t>OBS-091</t>
        </is>
      </c>
      <c r="B95" s="16" t="n"/>
      <c r="C95" s="12" t="n"/>
      <c r="D95" s="12" t="n"/>
      <c r="E95" s="10" t="inlineStr">
        <is>
          <t>Manual</t>
        </is>
      </c>
      <c r="F95" s="10" t="inlineStr">
        <is>
          <t>Cooling tower</t>
        </is>
      </c>
      <c r="G95" s="10" t="inlineStr">
        <is>
          <t>CT_02</t>
        </is>
      </c>
      <c r="H95" s="10" t="n">
        <v>3</v>
      </c>
      <c r="I95" s="10" t="n">
        <v>3</v>
      </c>
      <c r="J95" s="10" t="inlineStr">
        <is>
          <t>Modelica/FMU candidate setup</t>
        </is>
      </c>
      <c r="K95" s="17" t="n"/>
      <c r="L95" s="17" t="n"/>
      <c r="M95" s="12" t="n">
        <v>0</v>
      </c>
      <c r="N95" s="14">
        <f>IF(OR(K95="",L95=""),"",ROUND((L95-K95)*1440-N(M95),1))</f>
        <v/>
      </c>
      <c r="O95" s="17" t="n"/>
      <c r="P95" s="17" t="n"/>
      <c r="Q95" s="14">
        <f>IF(OR(O95="",P95=""),"",ROUND((P95-O95)*1440,1))</f>
        <v/>
      </c>
      <c r="R95" s="12" t="n"/>
      <c r="S95" s="12" t="inlineStr">
        <is>
          <t>Not started</t>
        </is>
      </c>
      <c r="T95" s="12" t="n"/>
      <c r="U95" s="12" t="n"/>
    </row>
    <row r="96">
      <c r="A96" s="10" t="inlineStr">
        <is>
          <t>OBS-092</t>
        </is>
      </c>
      <c r="B96" s="16" t="n"/>
      <c r="C96" s="12" t="n"/>
      <c r="D96" s="12" t="n"/>
      <c r="E96" s="10" t="inlineStr">
        <is>
          <t>Manual</t>
        </is>
      </c>
      <c r="F96" s="10" t="inlineStr">
        <is>
          <t>Cooling tower</t>
        </is>
      </c>
      <c r="G96" s="10" t="inlineStr">
        <is>
          <t>CT_02</t>
        </is>
      </c>
      <c r="H96" s="10" t="n">
        <v>3</v>
      </c>
      <c r="I96" s="10" t="n">
        <v>4</v>
      </c>
      <c r="J96" s="10" t="inlineStr">
        <is>
          <t>FMU parameter search</t>
        </is>
      </c>
      <c r="K96" s="17" t="n"/>
      <c r="L96" s="17" t="n"/>
      <c r="M96" s="12" t="n">
        <v>0</v>
      </c>
      <c r="N96" s="14">
        <f>IF(OR(K96="",L96=""),"",ROUND((L96-K96)*1440-N(M96),1))</f>
        <v/>
      </c>
      <c r="O96" s="17" t="n"/>
      <c r="P96" s="17" t="n"/>
      <c r="Q96" s="14">
        <f>IF(OR(O96="",P96=""),"",ROUND((P96-O96)*1440,1))</f>
        <v/>
      </c>
      <c r="R96" s="12" t="n"/>
      <c r="S96" s="12" t="inlineStr">
        <is>
          <t>Not started</t>
        </is>
      </c>
      <c r="T96" s="12" t="n"/>
      <c r="U96" s="12" t="n"/>
    </row>
    <row r="97">
      <c r="A97" s="10" t="inlineStr">
        <is>
          <t>OBS-093</t>
        </is>
      </c>
      <c r="B97" s="16" t="n"/>
      <c r="C97" s="12" t="n"/>
      <c r="D97" s="12" t="n"/>
      <c r="E97" s="10" t="inlineStr">
        <is>
          <t>Manual</t>
        </is>
      </c>
      <c r="F97" s="10" t="inlineStr">
        <is>
          <t>Cooling tower</t>
        </is>
      </c>
      <c r="G97" s="10" t="inlineStr">
        <is>
          <t>CT_02</t>
        </is>
      </c>
      <c r="H97" s="10" t="n">
        <v>3</v>
      </c>
      <c r="I97" s="10" t="n">
        <v>5</v>
      </c>
      <c r="J97" s="10" t="inlineStr">
        <is>
          <t>Full-period refinement and validation</t>
        </is>
      </c>
      <c r="K97" s="17" t="n"/>
      <c r="L97" s="17" t="n"/>
      <c r="M97" s="12" t="n">
        <v>0</v>
      </c>
      <c r="N97" s="14">
        <f>IF(OR(K97="",L97=""),"",ROUND((L97-K97)*1440-N(M97),1))</f>
        <v/>
      </c>
      <c r="O97" s="17" t="n"/>
      <c r="P97" s="17" t="n"/>
      <c r="Q97" s="14">
        <f>IF(OR(O97="",P97=""),"",ROUND((P97-O97)*1440,1))</f>
        <v/>
      </c>
      <c r="R97" s="12" t="n"/>
      <c r="S97" s="12" t="inlineStr">
        <is>
          <t>Not started</t>
        </is>
      </c>
      <c r="T97" s="12" t="n"/>
      <c r="U97" s="12" t="n"/>
    </row>
    <row r="98">
      <c r="A98" s="10" t="inlineStr">
        <is>
          <t>OBS-094</t>
        </is>
      </c>
      <c r="B98" s="16" t="n"/>
      <c r="C98" s="12" t="n"/>
      <c r="D98" s="12" t="n"/>
      <c r="E98" s="10" t="inlineStr">
        <is>
          <t>Manual</t>
        </is>
      </c>
      <c r="F98" s="10" t="inlineStr">
        <is>
          <t>Cooling tower</t>
        </is>
      </c>
      <c r="G98" s="10" t="inlineStr">
        <is>
          <t>CT_02</t>
        </is>
      </c>
      <c r="H98" s="10" t="n">
        <v>3</v>
      </c>
      <c r="I98" s="10" t="n">
        <v>6</v>
      </c>
      <c r="J98" s="10" t="inlineStr">
        <is>
          <t>Paper tables and figures</t>
        </is>
      </c>
      <c r="K98" s="17" t="n"/>
      <c r="L98" s="17" t="n"/>
      <c r="M98" s="12" t="n">
        <v>0</v>
      </c>
      <c r="N98" s="14">
        <f>IF(OR(K98="",L98=""),"",ROUND((L98-K98)*1440-N(M98),1))</f>
        <v/>
      </c>
      <c r="O98" s="17" t="n"/>
      <c r="P98" s="17" t="n"/>
      <c r="Q98" s="14">
        <f>IF(OR(O98="",P98=""),"",ROUND((P98-O98)*1440,1))</f>
        <v/>
      </c>
      <c r="R98" s="12" t="n"/>
      <c r="S98" s="12" t="inlineStr">
        <is>
          <t>Not started</t>
        </is>
      </c>
      <c r="T98" s="12" t="n"/>
      <c r="U98" s="12" t="n"/>
    </row>
    <row r="99">
      <c r="A99" s="10" t="inlineStr">
        <is>
          <t>OBS-095</t>
        </is>
      </c>
      <c r="B99" s="16" t="n">
        <v>46188</v>
      </c>
      <c r="C99" s="12" t="inlineStr">
        <is>
          <t>OP-001</t>
        </is>
      </c>
      <c r="D99" s="12" t="inlineStr">
        <is>
          <t>OBS-001</t>
        </is>
      </c>
      <c r="E99" s="10" t="inlineStr">
        <is>
          <t>Manual</t>
        </is>
      </c>
      <c r="F99" s="10" t="inlineStr">
        <is>
          <t>Cooling tower</t>
        </is>
      </c>
      <c r="G99" s="10" t="inlineStr">
        <is>
          <t>CT_02</t>
        </is>
      </c>
      <c r="H99" s="10" t="n">
        <v>3</v>
      </c>
      <c r="I99" s="15" t="n">
        <v>7</v>
      </c>
      <c r="J99" s="15" t="inlineStr">
        <is>
          <t>Observability and evidence-grade review</t>
        </is>
      </c>
      <c r="K99" s="17" t="n">
        <v>46188.58611111111</v>
      </c>
      <c r="L99" s="17" t="n">
        <v>46188.61388888889</v>
      </c>
      <c r="M99" s="12" t="n">
        <v>0</v>
      </c>
      <c r="N99" s="14">
        <f>IF(OR(K99="",L99=""),"",ROUND((L99-K99)*1440-N(M99),1))</f>
        <v/>
      </c>
      <c r="O99" s="17" t="n"/>
      <c r="P99" s="17" t="n"/>
      <c r="Q99" s="14">
        <f>IF(OR(O99="",P99=""),"",ROUND((P99-O99)*1440,1))</f>
        <v/>
      </c>
      <c r="R99" s="12" t="n"/>
      <c r="S99" s="12" t="inlineStr">
        <is>
          <t>Complete</t>
        </is>
      </c>
      <c r="T99" s="12" t="n"/>
      <c r="U99" s="12" t="n"/>
    </row>
    <row r="100">
      <c r="A100" s="10" t="inlineStr">
        <is>
          <t>OBS-096</t>
        </is>
      </c>
      <c r="B100" s="16" t="n">
        <v>46188</v>
      </c>
      <c r="C100" s="12" t="inlineStr">
        <is>
          <t>OP-001</t>
        </is>
      </c>
      <c r="D100" s="12" t="inlineStr">
        <is>
          <t>OBS-001</t>
        </is>
      </c>
      <c r="E100" s="10" t="inlineStr">
        <is>
          <t>Manual</t>
        </is>
      </c>
      <c r="F100" s="10" t="inlineStr">
        <is>
          <t>Cooling tower</t>
        </is>
      </c>
      <c r="G100" s="10" t="inlineStr">
        <is>
          <t>CT_02</t>
        </is>
      </c>
      <c r="H100" s="10" t="n">
        <v>3</v>
      </c>
      <c r="I100" s="15" t="n">
        <v>8</v>
      </c>
      <c r="J100" s="15" t="inlineStr">
        <is>
          <t>Temporal split definition and audit</t>
        </is>
      </c>
      <c r="K100" s="17" t="n">
        <v>46188.61597222222</v>
      </c>
      <c r="L100" s="17" t="n">
        <v>46188.63472222222</v>
      </c>
      <c r="M100" s="12" t="n">
        <v>0</v>
      </c>
      <c r="N100" s="14">
        <f>IF(OR(K100="",L100=""),"",ROUND((L100-K100)*1440-N(M100),1))</f>
        <v/>
      </c>
      <c r="O100" s="17" t="n"/>
      <c r="P100" s="17" t="n"/>
      <c r="Q100" s="14">
        <f>IF(OR(O100="",P100=""),"",ROUND((P100-O100)*1440,1))</f>
        <v/>
      </c>
      <c r="R100" s="12" t="n"/>
      <c r="S100" s="12" t="inlineStr">
        <is>
          <t>Blocked</t>
        </is>
      </c>
      <c r="T100" s="12" t="n"/>
      <c r="U100" s="12" t="n"/>
    </row>
    <row r="101">
      <c r="A101" s="10" t="inlineStr">
        <is>
          <t>OBS-097</t>
        </is>
      </c>
      <c r="B101" s="16" t="n"/>
      <c r="C101" s="12" t="n"/>
      <c r="D101" s="12" t="n"/>
      <c r="E101" s="10" t="inlineStr">
        <is>
          <t>Auto</t>
        </is>
      </c>
      <c r="F101" s="10" t="inlineStr">
        <is>
          <t>Cooling tower</t>
        </is>
      </c>
      <c r="G101" s="10" t="inlineStr">
        <is>
          <t>FAMILY_SETUP</t>
        </is>
      </c>
      <c r="H101" s="10" t="n">
        <v>0</v>
      </c>
      <c r="I101" s="10" t="n">
        <v>1</v>
      </c>
      <c r="J101" s="10" t="inlineStr">
        <is>
          <t>Data loading and semantic mapping</t>
        </is>
      </c>
      <c r="K101" s="17" t="n"/>
      <c r="L101" s="17" t="n"/>
      <c r="M101" s="12" t="n">
        <v>0</v>
      </c>
      <c r="N101" s="14">
        <f>IF(OR(K101="",L101=""),"",ROUND((L101-K101)*1440-N(M101),1))</f>
        <v/>
      </c>
      <c r="O101" s="17" t="n"/>
      <c r="P101" s="17" t="n"/>
      <c r="Q101" s="14">
        <f>IF(OR(O101="",P101=""),"",ROUND((P101-O101)*1440,1))</f>
        <v/>
      </c>
      <c r="R101" s="12" t="n"/>
      <c r="S101" s="12" t="inlineStr">
        <is>
          <t>Not started</t>
        </is>
      </c>
      <c r="T101" s="12" t="n"/>
      <c r="U101" s="12" t="n"/>
    </row>
    <row r="102">
      <c r="A102" s="10" t="inlineStr">
        <is>
          <t>OBS-098</t>
        </is>
      </c>
      <c r="B102" s="16" t="n"/>
      <c r="C102" s="12" t="n"/>
      <c r="D102" s="12" t="n"/>
      <c r="E102" s="10" t="inlineStr">
        <is>
          <t>Auto</t>
        </is>
      </c>
      <c r="F102" s="10" t="inlineStr">
        <is>
          <t>Cooling tower</t>
        </is>
      </c>
      <c r="G102" s="10" t="inlineStr">
        <is>
          <t>FAMILY_SETUP</t>
        </is>
      </c>
      <c r="H102" s="10" t="n">
        <v>0</v>
      </c>
      <c r="I102" s="10" t="n">
        <v>2</v>
      </c>
      <c r="J102" s="10" t="inlineStr">
        <is>
          <t>Valid model input table preparation</t>
        </is>
      </c>
      <c r="K102" s="17" t="n"/>
      <c r="L102" s="17" t="n"/>
      <c r="M102" s="12" t="n">
        <v>0</v>
      </c>
      <c r="N102" s="14">
        <f>IF(OR(K102="",L102=""),"",ROUND((L102-K102)*1440-N(M102),1))</f>
        <v/>
      </c>
      <c r="O102" s="17" t="n"/>
      <c r="P102" s="17" t="n"/>
      <c r="Q102" s="14">
        <f>IF(OR(O102="",P102=""),"",ROUND((P102-O102)*1440,1))</f>
        <v/>
      </c>
      <c r="R102" s="12" t="n"/>
      <c r="S102" s="12" t="inlineStr">
        <is>
          <t>Not started</t>
        </is>
      </c>
      <c r="T102" s="12" t="n"/>
      <c r="U102" s="12" t="n"/>
    </row>
    <row r="103">
      <c r="A103" s="10" t="inlineStr">
        <is>
          <t>OBS-099</t>
        </is>
      </c>
      <c r="B103" s="16" t="n"/>
      <c r="C103" s="12" t="n"/>
      <c r="D103" s="12" t="n"/>
      <c r="E103" s="10" t="inlineStr">
        <is>
          <t>Auto</t>
        </is>
      </c>
      <c r="F103" s="10" t="inlineStr">
        <is>
          <t>Cooling tower</t>
        </is>
      </c>
      <c r="G103" s="10" t="inlineStr">
        <is>
          <t>FAMILY_SETUP</t>
        </is>
      </c>
      <c r="H103" s="10" t="n">
        <v>0</v>
      </c>
      <c r="I103" s="10" t="n">
        <v>3</v>
      </c>
      <c r="J103" s="10" t="inlineStr">
        <is>
          <t>Modelica/FMU candidate setup</t>
        </is>
      </c>
      <c r="K103" s="17" t="n"/>
      <c r="L103" s="17" t="n"/>
      <c r="M103" s="12" t="n">
        <v>0</v>
      </c>
      <c r="N103" s="14">
        <f>IF(OR(K103="",L103=""),"",ROUND((L103-K103)*1440-N(M103),1))</f>
        <v/>
      </c>
      <c r="O103" s="17" t="n"/>
      <c r="P103" s="17" t="n"/>
      <c r="Q103" s="14">
        <f>IF(OR(O103="",P103=""),"",ROUND((P103-O103)*1440,1))</f>
        <v/>
      </c>
      <c r="R103" s="12" t="n"/>
      <c r="S103" s="12" t="inlineStr">
        <is>
          <t>Not started</t>
        </is>
      </c>
      <c r="T103" s="12" t="n"/>
      <c r="U103" s="12" t="n"/>
    </row>
    <row r="104">
      <c r="A104" s="10" t="inlineStr">
        <is>
          <t>OBS-100</t>
        </is>
      </c>
      <c r="B104" s="16" t="n"/>
      <c r="C104" s="12" t="n"/>
      <c r="D104" s="12" t="n"/>
      <c r="E104" s="10" t="inlineStr">
        <is>
          <t>Auto</t>
        </is>
      </c>
      <c r="F104" s="10" t="inlineStr">
        <is>
          <t>Cooling tower</t>
        </is>
      </c>
      <c r="G104" s="10" t="inlineStr">
        <is>
          <t>FAMILY_SETUP</t>
        </is>
      </c>
      <c r="H104" s="10" t="n">
        <v>0</v>
      </c>
      <c r="I104" s="10" t="n">
        <v>4</v>
      </c>
      <c r="J104" s="10" t="inlineStr">
        <is>
          <t>FMU parameter search</t>
        </is>
      </c>
      <c r="K104" s="17" t="n"/>
      <c r="L104" s="17" t="n"/>
      <c r="M104" s="12" t="n">
        <v>0</v>
      </c>
      <c r="N104" s="14">
        <f>IF(OR(K104="",L104=""),"",ROUND((L104-K104)*1440-N(M104),1))</f>
        <v/>
      </c>
      <c r="O104" s="17" t="n"/>
      <c r="P104" s="17" t="n"/>
      <c r="Q104" s="14">
        <f>IF(OR(O104="",P104=""),"",ROUND((P104-O104)*1440,1))</f>
        <v/>
      </c>
      <c r="R104" s="12" t="n"/>
      <c r="S104" s="12" t="inlineStr">
        <is>
          <t>Not started</t>
        </is>
      </c>
      <c r="T104" s="12" t="n"/>
      <c r="U104" s="12" t="n"/>
    </row>
    <row r="105">
      <c r="A105" s="10" t="inlineStr">
        <is>
          <t>OBS-101</t>
        </is>
      </c>
      <c r="B105" s="16" t="n"/>
      <c r="C105" s="12" t="n"/>
      <c r="D105" s="12" t="n"/>
      <c r="E105" s="10" t="inlineStr">
        <is>
          <t>Auto</t>
        </is>
      </c>
      <c r="F105" s="10" t="inlineStr">
        <is>
          <t>Cooling tower</t>
        </is>
      </c>
      <c r="G105" s="10" t="inlineStr">
        <is>
          <t>FAMILY_SETUP</t>
        </is>
      </c>
      <c r="H105" s="10" t="n">
        <v>0</v>
      </c>
      <c r="I105" s="10" t="n">
        <v>5</v>
      </c>
      <c r="J105" s="10" t="inlineStr">
        <is>
          <t>Full-period refinement and validation</t>
        </is>
      </c>
      <c r="K105" s="17" t="n"/>
      <c r="L105" s="17" t="n"/>
      <c r="M105" s="12" t="n">
        <v>0</v>
      </c>
      <c r="N105" s="14">
        <f>IF(OR(K105="",L105=""),"",ROUND((L105-K105)*1440-N(M105),1))</f>
        <v/>
      </c>
      <c r="O105" s="17" t="n"/>
      <c r="P105" s="17" t="n"/>
      <c r="Q105" s="14">
        <f>IF(OR(O105="",P105=""),"",ROUND((P105-O105)*1440,1))</f>
        <v/>
      </c>
      <c r="R105" s="12" t="n"/>
      <c r="S105" s="12" t="inlineStr">
        <is>
          <t>Not started</t>
        </is>
      </c>
      <c r="T105" s="12" t="n"/>
      <c r="U105" s="12" t="n"/>
    </row>
    <row r="106">
      <c r="A106" s="10" t="inlineStr">
        <is>
          <t>OBS-102</t>
        </is>
      </c>
      <c r="B106" s="16" t="n"/>
      <c r="C106" s="12" t="n"/>
      <c r="D106" s="12" t="n"/>
      <c r="E106" s="10" t="inlineStr">
        <is>
          <t>Auto</t>
        </is>
      </c>
      <c r="F106" s="10" t="inlineStr">
        <is>
          <t>Cooling tower</t>
        </is>
      </c>
      <c r="G106" s="10" t="inlineStr">
        <is>
          <t>FAMILY_SETUP</t>
        </is>
      </c>
      <c r="H106" s="10" t="n">
        <v>0</v>
      </c>
      <c r="I106" s="10" t="n">
        <v>6</v>
      </c>
      <c r="J106" s="10" t="inlineStr">
        <is>
          <t>Paper tables and figures</t>
        </is>
      </c>
      <c r="K106" s="17" t="n"/>
      <c r="L106" s="17" t="n"/>
      <c r="M106" s="12" t="n">
        <v>0</v>
      </c>
      <c r="N106" s="14">
        <f>IF(OR(K106="",L106=""),"",ROUND((L106-K106)*1440-N(M106),1))</f>
        <v/>
      </c>
      <c r="O106" s="17" t="n"/>
      <c r="P106" s="17" t="n"/>
      <c r="Q106" s="14">
        <f>IF(OR(O106="",P106=""),"",ROUND((P106-O106)*1440,1))</f>
        <v/>
      </c>
      <c r="R106" s="12" t="n"/>
      <c r="S106" s="12" t="inlineStr">
        <is>
          <t>Not started</t>
        </is>
      </c>
      <c r="T106" s="12" t="n"/>
      <c r="U106" s="12" t="n"/>
    </row>
    <row r="107">
      <c r="A107" s="10" t="inlineStr">
        <is>
          <t>OBS-103</t>
        </is>
      </c>
      <c r="B107" s="16" t="n"/>
      <c r="C107" s="12" t="n"/>
      <c r="D107" s="12" t="n"/>
      <c r="E107" s="10" t="inlineStr">
        <is>
          <t>Auto</t>
        </is>
      </c>
      <c r="F107" s="10" t="inlineStr">
        <is>
          <t>Cooling tower</t>
        </is>
      </c>
      <c r="G107" s="10" t="inlineStr">
        <is>
          <t>FAMILY_SETUP</t>
        </is>
      </c>
      <c r="H107" s="10" t="n">
        <v>0</v>
      </c>
      <c r="I107" s="15" t="n">
        <v>7</v>
      </c>
      <c r="J107" s="15" t="inlineStr">
        <is>
          <t>Observability and evidence-grade review</t>
        </is>
      </c>
      <c r="K107" s="17" t="n"/>
      <c r="L107" s="17" t="n"/>
      <c r="M107" s="12" t="n">
        <v>0</v>
      </c>
      <c r="N107" s="14">
        <f>IF(OR(K107="",L107=""),"",ROUND((L107-K107)*1440-N(M107),1))</f>
        <v/>
      </c>
      <c r="O107" s="17" t="n"/>
      <c r="P107" s="17" t="n"/>
      <c r="Q107" s="14">
        <f>IF(OR(O107="",P107=""),"",ROUND((P107-O107)*1440,1))</f>
        <v/>
      </c>
      <c r="R107" s="12" t="n"/>
      <c r="S107" s="12" t="inlineStr">
        <is>
          <t>Not started</t>
        </is>
      </c>
      <c r="T107" s="12" t="n"/>
      <c r="U107" s="12" t="n"/>
    </row>
    <row r="108">
      <c r="A108" s="10" t="inlineStr">
        <is>
          <t>OBS-104</t>
        </is>
      </c>
      <c r="B108" s="16" t="n"/>
      <c r="C108" s="12" t="n"/>
      <c r="D108" s="12" t="n"/>
      <c r="E108" s="10" t="inlineStr">
        <is>
          <t>Auto</t>
        </is>
      </c>
      <c r="F108" s="10" t="inlineStr">
        <is>
          <t>Cooling tower</t>
        </is>
      </c>
      <c r="G108" s="10" t="inlineStr">
        <is>
          <t>FAMILY_SETUP</t>
        </is>
      </c>
      <c r="H108" s="10" t="n">
        <v>0</v>
      </c>
      <c r="I108" s="15" t="n">
        <v>8</v>
      </c>
      <c r="J108" s="15" t="inlineStr">
        <is>
          <t>Temporal split definition and audit</t>
        </is>
      </c>
      <c r="K108" s="17" t="n"/>
      <c r="L108" s="17" t="n"/>
      <c r="M108" s="12" t="n">
        <v>0</v>
      </c>
      <c r="N108" s="14">
        <f>IF(OR(K108="",L108=""),"",ROUND((L108-K108)*1440-N(M108),1))</f>
        <v/>
      </c>
      <c r="O108" s="17" t="n"/>
      <c r="P108" s="17" t="n"/>
      <c r="Q108" s="14">
        <f>IF(OR(O108="",P108=""),"",ROUND((P108-O108)*1440,1))</f>
        <v/>
      </c>
      <c r="R108" s="12" t="n"/>
      <c r="S108" s="12" t="inlineStr">
        <is>
          <t>Not started</t>
        </is>
      </c>
      <c r="T108" s="12" t="n"/>
      <c r="U108" s="12" t="n"/>
    </row>
    <row r="109">
      <c r="A109" s="10" t="inlineStr">
        <is>
          <t>OBS-105</t>
        </is>
      </c>
      <c r="B109" s="16" t="n"/>
      <c r="C109" s="12" t="n"/>
      <c r="D109" s="12" t="n"/>
      <c r="E109" s="10" t="inlineStr">
        <is>
          <t>Auto</t>
        </is>
      </c>
      <c r="F109" s="10" t="inlineStr">
        <is>
          <t>Cooling tower</t>
        </is>
      </c>
      <c r="G109" s="10" t="inlineStr">
        <is>
          <t>CT_01</t>
        </is>
      </c>
      <c r="H109" s="10" t="n">
        <v>1</v>
      </c>
      <c r="I109" s="10" t="n">
        <v>1</v>
      </c>
      <c r="J109" s="10" t="inlineStr">
        <is>
          <t>Data loading and semantic mapping</t>
        </is>
      </c>
      <c r="K109" s="17" t="n"/>
      <c r="L109" s="17" t="n"/>
      <c r="M109" s="12" t="n">
        <v>0</v>
      </c>
      <c r="N109" s="14">
        <f>IF(OR(K109="",L109=""),"",ROUND((L109-K109)*1440-N(M109),1))</f>
        <v/>
      </c>
      <c r="O109" s="17" t="n"/>
      <c r="P109" s="17" t="n"/>
      <c r="Q109" s="14">
        <f>IF(OR(O109="",P109=""),"",ROUND((P109-O109)*1440,1))</f>
        <v/>
      </c>
      <c r="R109" s="12" t="n"/>
      <c r="S109" s="12" t="inlineStr">
        <is>
          <t>Not started</t>
        </is>
      </c>
      <c r="T109" s="12" t="n"/>
      <c r="U109" s="12" t="n"/>
    </row>
    <row r="110">
      <c r="A110" s="10" t="inlineStr">
        <is>
          <t>OBS-106</t>
        </is>
      </c>
      <c r="B110" s="16" t="n"/>
      <c r="C110" s="12" t="n"/>
      <c r="D110" s="12" t="n"/>
      <c r="E110" s="10" t="inlineStr">
        <is>
          <t>Auto</t>
        </is>
      </c>
      <c r="F110" s="10" t="inlineStr">
        <is>
          <t>Cooling tower</t>
        </is>
      </c>
      <c r="G110" s="10" t="inlineStr">
        <is>
          <t>CT_01</t>
        </is>
      </c>
      <c r="H110" s="10" t="n">
        <v>1</v>
      </c>
      <c r="I110" s="10" t="n">
        <v>2</v>
      </c>
      <c r="J110" s="10" t="inlineStr">
        <is>
          <t>Valid model input table preparation</t>
        </is>
      </c>
      <c r="K110" s="17" t="n"/>
      <c r="L110" s="17" t="n"/>
      <c r="M110" s="12" t="n">
        <v>0</v>
      </c>
      <c r="N110" s="14">
        <f>IF(OR(K110="",L110=""),"",ROUND((L110-K110)*1440-N(M110),1))</f>
        <v/>
      </c>
      <c r="O110" s="17" t="n"/>
      <c r="P110" s="17" t="n"/>
      <c r="Q110" s="14">
        <f>IF(OR(O110="",P110=""),"",ROUND((P110-O110)*1440,1))</f>
        <v/>
      </c>
      <c r="R110" s="12" t="n"/>
      <c r="S110" s="12" t="inlineStr">
        <is>
          <t>Not started</t>
        </is>
      </c>
      <c r="T110" s="12" t="n"/>
      <c r="U110" s="12" t="n"/>
    </row>
    <row r="111">
      <c r="A111" s="10" t="inlineStr">
        <is>
          <t>OBS-107</t>
        </is>
      </c>
      <c r="B111" s="16" t="n"/>
      <c r="C111" s="12" t="n"/>
      <c r="D111" s="12" t="n"/>
      <c r="E111" s="10" t="inlineStr">
        <is>
          <t>Auto</t>
        </is>
      </c>
      <c r="F111" s="10" t="inlineStr">
        <is>
          <t>Cooling tower</t>
        </is>
      </c>
      <c r="G111" s="10" t="inlineStr">
        <is>
          <t>CT_01</t>
        </is>
      </c>
      <c r="H111" s="10" t="n">
        <v>1</v>
      </c>
      <c r="I111" s="10" t="n">
        <v>3</v>
      </c>
      <c r="J111" s="10" t="inlineStr">
        <is>
          <t>Modelica/FMU candidate setup</t>
        </is>
      </c>
      <c r="K111" s="17" t="n"/>
      <c r="L111" s="17" t="n"/>
      <c r="M111" s="12" t="n">
        <v>0</v>
      </c>
      <c r="N111" s="14">
        <f>IF(OR(K111="",L111=""),"",ROUND((L111-K111)*1440-N(M111),1))</f>
        <v/>
      </c>
      <c r="O111" s="17" t="n"/>
      <c r="P111" s="17" t="n"/>
      <c r="Q111" s="14">
        <f>IF(OR(O111="",P111=""),"",ROUND((P111-O111)*1440,1))</f>
        <v/>
      </c>
      <c r="R111" s="12" t="n"/>
      <c r="S111" s="12" t="inlineStr">
        <is>
          <t>Not started</t>
        </is>
      </c>
      <c r="T111" s="12" t="n"/>
      <c r="U111" s="12" t="n"/>
    </row>
    <row r="112">
      <c r="A112" s="10" t="inlineStr">
        <is>
          <t>OBS-108</t>
        </is>
      </c>
      <c r="B112" s="16" t="n"/>
      <c r="C112" s="12" t="n"/>
      <c r="D112" s="12" t="n"/>
      <c r="E112" s="10" t="inlineStr">
        <is>
          <t>Auto</t>
        </is>
      </c>
      <c r="F112" s="10" t="inlineStr">
        <is>
          <t>Cooling tower</t>
        </is>
      </c>
      <c r="G112" s="10" t="inlineStr">
        <is>
          <t>CT_01</t>
        </is>
      </c>
      <c r="H112" s="10" t="n">
        <v>1</v>
      </c>
      <c r="I112" s="10" t="n">
        <v>4</v>
      </c>
      <c r="J112" s="10" t="inlineStr">
        <is>
          <t>FMU parameter search</t>
        </is>
      </c>
      <c r="K112" s="17" t="n"/>
      <c r="L112" s="17" t="n"/>
      <c r="M112" s="12" t="n">
        <v>0</v>
      </c>
      <c r="N112" s="14">
        <f>IF(OR(K112="",L112=""),"",ROUND((L112-K112)*1440-N(M112),1))</f>
        <v/>
      </c>
      <c r="O112" s="17" t="n"/>
      <c r="P112" s="17" t="n"/>
      <c r="Q112" s="14">
        <f>IF(OR(O112="",P112=""),"",ROUND((P112-O112)*1440,1))</f>
        <v/>
      </c>
      <c r="R112" s="12" t="n"/>
      <c r="S112" s="12" t="inlineStr">
        <is>
          <t>Not started</t>
        </is>
      </c>
      <c r="T112" s="12" t="n"/>
      <c r="U112" s="12" t="n"/>
    </row>
    <row r="113">
      <c r="A113" s="10" t="inlineStr">
        <is>
          <t>OBS-109</t>
        </is>
      </c>
      <c r="B113" s="16" t="n"/>
      <c r="C113" s="12" t="n"/>
      <c r="D113" s="12" t="n"/>
      <c r="E113" s="10" t="inlineStr">
        <is>
          <t>Auto</t>
        </is>
      </c>
      <c r="F113" s="10" t="inlineStr">
        <is>
          <t>Cooling tower</t>
        </is>
      </c>
      <c r="G113" s="10" t="inlineStr">
        <is>
          <t>CT_01</t>
        </is>
      </c>
      <c r="H113" s="10" t="n">
        <v>1</v>
      </c>
      <c r="I113" s="10" t="n">
        <v>5</v>
      </c>
      <c r="J113" s="10" t="inlineStr">
        <is>
          <t>Full-period refinement and validation</t>
        </is>
      </c>
      <c r="K113" s="17" t="n"/>
      <c r="L113" s="17" t="n"/>
      <c r="M113" s="12" t="n">
        <v>0</v>
      </c>
      <c r="N113" s="14">
        <f>IF(OR(K113="",L113=""),"",ROUND((L113-K113)*1440-N(M113),1))</f>
        <v/>
      </c>
      <c r="O113" s="17" t="n"/>
      <c r="P113" s="17" t="n"/>
      <c r="Q113" s="14">
        <f>IF(OR(O113="",P113=""),"",ROUND((P113-O113)*1440,1))</f>
        <v/>
      </c>
      <c r="R113" s="12" t="n"/>
      <c r="S113" s="12" t="inlineStr">
        <is>
          <t>Not started</t>
        </is>
      </c>
      <c r="T113" s="12" t="n"/>
      <c r="U113" s="12" t="n"/>
    </row>
    <row r="114">
      <c r="A114" s="10" t="inlineStr">
        <is>
          <t>OBS-110</t>
        </is>
      </c>
      <c r="B114" s="16" t="n"/>
      <c r="C114" s="12" t="n"/>
      <c r="D114" s="12" t="n"/>
      <c r="E114" s="10" t="inlineStr">
        <is>
          <t>Auto</t>
        </is>
      </c>
      <c r="F114" s="10" t="inlineStr">
        <is>
          <t>Cooling tower</t>
        </is>
      </c>
      <c r="G114" s="10" t="inlineStr">
        <is>
          <t>CT_01</t>
        </is>
      </c>
      <c r="H114" s="10" t="n">
        <v>1</v>
      </c>
      <c r="I114" s="10" t="n">
        <v>6</v>
      </c>
      <c r="J114" s="10" t="inlineStr">
        <is>
          <t>Paper tables and figures</t>
        </is>
      </c>
      <c r="K114" s="17" t="n"/>
      <c r="L114" s="17" t="n"/>
      <c r="M114" s="12" t="n">
        <v>0</v>
      </c>
      <c r="N114" s="14">
        <f>IF(OR(K114="",L114=""),"",ROUND((L114-K114)*1440-N(M114),1))</f>
        <v/>
      </c>
      <c r="O114" s="17" t="n"/>
      <c r="P114" s="17" t="n"/>
      <c r="Q114" s="14">
        <f>IF(OR(O114="",P114=""),"",ROUND((P114-O114)*1440,1))</f>
        <v/>
      </c>
      <c r="R114" s="12" t="n"/>
      <c r="S114" s="12" t="inlineStr">
        <is>
          <t>Not started</t>
        </is>
      </c>
      <c r="T114" s="12" t="n"/>
      <c r="U114" s="12" t="n"/>
    </row>
    <row r="115">
      <c r="A115" s="10" t="inlineStr">
        <is>
          <t>OBS-111</t>
        </is>
      </c>
      <c r="B115" s="16" t="n"/>
      <c r="C115" s="12" t="n"/>
      <c r="D115" s="12" t="n"/>
      <c r="E115" s="10" t="inlineStr">
        <is>
          <t>Auto</t>
        </is>
      </c>
      <c r="F115" s="10" t="inlineStr">
        <is>
          <t>Cooling tower</t>
        </is>
      </c>
      <c r="G115" s="10" t="inlineStr">
        <is>
          <t>CT_01</t>
        </is>
      </c>
      <c r="H115" s="10" t="n">
        <v>1</v>
      </c>
      <c r="I115" s="15" t="n">
        <v>7</v>
      </c>
      <c r="J115" s="15" t="inlineStr">
        <is>
          <t>Observability and evidence-grade review</t>
        </is>
      </c>
      <c r="K115" s="17" t="n"/>
      <c r="L115" s="17" t="n"/>
      <c r="M115" s="12" t="n">
        <v>0</v>
      </c>
      <c r="N115" s="14">
        <f>IF(OR(K115="",L115=""),"",ROUND((L115-K115)*1440-N(M115),1))</f>
        <v/>
      </c>
      <c r="O115" s="17" t="n"/>
      <c r="P115" s="17" t="n"/>
      <c r="Q115" s="14">
        <f>IF(OR(O115="",P115=""),"",ROUND((P115-O115)*1440,1))</f>
        <v/>
      </c>
      <c r="R115" s="12" t="n"/>
      <c r="S115" s="12" t="inlineStr">
        <is>
          <t>Not started</t>
        </is>
      </c>
      <c r="T115" s="12" t="n"/>
      <c r="U115" s="12" t="n"/>
    </row>
    <row r="116">
      <c r="A116" s="10" t="inlineStr">
        <is>
          <t>OBS-112</t>
        </is>
      </c>
      <c r="B116" s="16" t="n"/>
      <c r="C116" s="12" t="n"/>
      <c r="D116" s="12" t="n"/>
      <c r="E116" s="10" t="inlineStr">
        <is>
          <t>Auto</t>
        </is>
      </c>
      <c r="F116" s="10" t="inlineStr">
        <is>
          <t>Cooling tower</t>
        </is>
      </c>
      <c r="G116" s="10" t="inlineStr">
        <is>
          <t>CT_01</t>
        </is>
      </c>
      <c r="H116" s="10" t="n">
        <v>1</v>
      </c>
      <c r="I116" s="15" t="n">
        <v>8</v>
      </c>
      <c r="J116" s="15" t="inlineStr">
        <is>
          <t>Temporal split definition and audit</t>
        </is>
      </c>
      <c r="K116" s="17" t="n"/>
      <c r="L116" s="17" t="n"/>
      <c r="M116" s="12" t="n">
        <v>0</v>
      </c>
      <c r="N116" s="14">
        <f>IF(OR(K116="",L116=""),"",ROUND((L116-K116)*1440-N(M116),1))</f>
        <v/>
      </c>
      <c r="O116" s="17" t="n"/>
      <c r="P116" s="17" t="n"/>
      <c r="Q116" s="14">
        <f>IF(OR(O116="",P116=""),"",ROUND((P116-O116)*1440,1))</f>
        <v/>
      </c>
      <c r="R116" s="12" t="n"/>
      <c r="S116" s="12" t="inlineStr">
        <is>
          <t>Not started</t>
        </is>
      </c>
      <c r="T116" s="12" t="n"/>
      <c r="U116" s="12" t="n"/>
    </row>
    <row r="117">
      <c r="A117" s="10" t="inlineStr">
        <is>
          <t>OBS-113</t>
        </is>
      </c>
      <c r="B117" s="16" t="n"/>
      <c r="C117" s="12" t="n"/>
      <c r="D117" s="12" t="n"/>
      <c r="E117" s="10" t="inlineStr">
        <is>
          <t>Auto</t>
        </is>
      </c>
      <c r="F117" s="10" t="inlineStr">
        <is>
          <t>Cooling tower</t>
        </is>
      </c>
      <c r="G117" s="10" t="inlineStr">
        <is>
          <t>CT_05</t>
        </is>
      </c>
      <c r="H117" s="10" t="n">
        <v>2</v>
      </c>
      <c r="I117" s="10" t="n">
        <v>1</v>
      </c>
      <c r="J117" s="10" t="inlineStr">
        <is>
          <t>Data loading and semantic mapping</t>
        </is>
      </c>
      <c r="K117" s="17" t="n"/>
      <c r="L117" s="17" t="n"/>
      <c r="M117" s="12" t="n">
        <v>0</v>
      </c>
      <c r="N117" s="14">
        <f>IF(OR(K117="",L117=""),"",ROUND((L117-K117)*1440-N(M117),1))</f>
        <v/>
      </c>
      <c r="O117" s="17" t="n"/>
      <c r="P117" s="17" t="n"/>
      <c r="Q117" s="14">
        <f>IF(OR(O117="",P117=""),"",ROUND((P117-O117)*1440,1))</f>
        <v/>
      </c>
      <c r="R117" s="12" t="n"/>
      <c r="S117" s="12" t="inlineStr">
        <is>
          <t>Not started</t>
        </is>
      </c>
      <c r="T117" s="12" t="n"/>
      <c r="U117" s="12" t="n"/>
    </row>
    <row r="118">
      <c r="A118" s="10" t="inlineStr">
        <is>
          <t>OBS-114</t>
        </is>
      </c>
      <c r="B118" s="16" t="n"/>
      <c r="C118" s="12" t="n"/>
      <c r="D118" s="12" t="n"/>
      <c r="E118" s="10" t="inlineStr">
        <is>
          <t>Auto</t>
        </is>
      </c>
      <c r="F118" s="10" t="inlineStr">
        <is>
          <t>Cooling tower</t>
        </is>
      </c>
      <c r="G118" s="10" t="inlineStr">
        <is>
          <t>CT_05</t>
        </is>
      </c>
      <c r="H118" s="10" t="n">
        <v>2</v>
      </c>
      <c r="I118" s="10" t="n">
        <v>2</v>
      </c>
      <c r="J118" s="10" t="inlineStr">
        <is>
          <t>Valid model input table preparation</t>
        </is>
      </c>
      <c r="K118" s="17" t="n"/>
      <c r="L118" s="17" t="n"/>
      <c r="M118" s="12" t="n">
        <v>0</v>
      </c>
      <c r="N118" s="14">
        <f>IF(OR(K118="",L118=""),"",ROUND((L118-K118)*1440-N(M118),1))</f>
        <v/>
      </c>
      <c r="O118" s="17" t="n"/>
      <c r="P118" s="17" t="n"/>
      <c r="Q118" s="14">
        <f>IF(OR(O118="",P118=""),"",ROUND((P118-O118)*1440,1))</f>
        <v/>
      </c>
      <c r="R118" s="12" t="n"/>
      <c r="S118" s="12" t="inlineStr">
        <is>
          <t>Not started</t>
        </is>
      </c>
      <c r="T118" s="12" t="n"/>
      <c r="U118" s="12" t="n"/>
    </row>
    <row r="119">
      <c r="A119" s="10" t="inlineStr">
        <is>
          <t>OBS-115</t>
        </is>
      </c>
      <c r="B119" s="16" t="n"/>
      <c r="C119" s="12" t="n"/>
      <c r="D119" s="12" t="n"/>
      <c r="E119" s="10" t="inlineStr">
        <is>
          <t>Auto</t>
        </is>
      </c>
      <c r="F119" s="10" t="inlineStr">
        <is>
          <t>Cooling tower</t>
        </is>
      </c>
      <c r="G119" s="10" t="inlineStr">
        <is>
          <t>CT_05</t>
        </is>
      </c>
      <c r="H119" s="10" t="n">
        <v>2</v>
      </c>
      <c r="I119" s="10" t="n">
        <v>3</v>
      </c>
      <c r="J119" s="10" t="inlineStr">
        <is>
          <t>Modelica/FMU candidate setup</t>
        </is>
      </c>
      <c r="K119" s="17" t="n"/>
      <c r="L119" s="17" t="n"/>
      <c r="M119" s="12" t="n">
        <v>0</v>
      </c>
      <c r="N119" s="14">
        <f>IF(OR(K119="",L119=""),"",ROUND((L119-K119)*1440-N(M119),1))</f>
        <v/>
      </c>
      <c r="O119" s="17" t="n"/>
      <c r="P119" s="17" t="n"/>
      <c r="Q119" s="14">
        <f>IF(OR(O119="",P119=""),"",ROUND((P119-O119)*1440,1))</f>
        <v/>
      </c>
      <c r="R119" s="12" t="n"/>
      <c r="S119" s="12" t="inlineStr">
        <is>
          <t>Not started</t>
        </is>
      </c>
      <c r="T119" s="12" t="n"/>
      <c r="U119" s="12" t="n"/>
    </row>
    <row r="120">
      <c r="A120" s="10" t="inlineStr">
        <is>
          <t>OBS-116</t>
        </is>
      </c>
      <c r="B120" s="16" t="n"/>
      <c r="C120" s="12" t="n"/>
      <c r="D120" s="12" t="n"/>
      <c r="E120" s="10" t="inlineStr">
        <is>
          <t>Auto</t>
        </is>
      </c>
      <c r="F120" s="10" t="inlineStr">
        <is>
          <t>Cooling tower</t>
        </is>
      </c>
      <c r="G120" s="10" t="inlineStr">
        <is>
          <t>CT_05</t>
        </is>
      </c>
      <c r="H120" s="10" t="n">
        <v>2</v>
      </c>
      <c r="I120" s="10" t="n">
        <v>4</v>
      </c>
      <c r="J120" s="10" t="inlineStr">
        <is>
          <t>FMU parameter search</t>
        </is>
      </c>
      <c r="K120" s="17" t="n"/>
      <c r="L120" s="17" t="n"/>
      <c r="M120" s="12" t="n">
        <v>0</v>
      </c>
      <c r="N120" s="14">
        <f>IF(OR(K120="",L120=""),"",ROUND((L120-K120)*1440-N(M120),1))</f>
        <v/>
      </c>
      <c r="O120" s="17" t="n"/>
      <c r="P120" s="17" t="n"/>
      <c r="Q120" s="14">
        <f>IF(OR(O120="",P120=""),"",ROUND((P120-O120)*1440,1))</f>
        <v/>
      </c>
      <c r="R120" s="12" t="n"/>
      <c r="S120" s="12" t="inlineStr">
        <is>
          <t>Not started</t>
        </is>
      </c>
      <c r="T120" s="12" t="n"/>
      <c r="U120" s="12" t="n"/>
    </row>
    <row r="121">
      <c r="A121" s="10" t="inlineStr">
        <is>
          <t>OBS-117</t>
        </is>
      </c>
      <c r="B121" s="16" t="n"/>
      <c r="C121" s="12" t="n"/>
      <c r="D121" s="12" t="n"/>
      <c r="E121" s="10" t="inlineStr">
        <is>
          <t>Auto</t>
        </is>
      </c>
      <c r="F121" s="10" t="inlineStr">
        <is>
          <t>Cooling tower</t>
        </is>
      </c>
      <c r="G121" s="10" t="inlineStr">
        <is>
          <t>CT_05</t>
        </is>
      </c>
      <c r="H121" s="10" t="n">
        <v>2</v>
      </c>
      <c r="I121" s="10" t="n">
        <v>5</v>
      </c>
      <c r="J121" s="10" t="inlineStr">
        <is>
          <t>Full-period refinement and validation</t>
        </is>
      </c>
      <c r="K121" s="17" t="n"/>
      <c r="L121" s="17" t="n"/>
      <c r="M121" s="12" t="n">
        <v>0</v>
      </c>
      <c r="N121" s="14">
        <f>IF(OR(K121="",L121=""),"",ROUND((L121-K121)*1440-N(M121),1))</f>
        <v/>
      </c>
      <c r="O121" s="17" t="n"/>
      <c r="P121" s="17" t="n"/>
      <c r="Q121" s="14">
        <f>IF(OR(O121="",P121=""),"",ROUND((P121-O121)*1440,1))</f>
        <v/>
      </c>
      <c r="R121" s="12" t="n"/>
      <c r="S121" s="12" t="inlineStr">
        <is>
          <t>Not started</t>
        </is>
      </c>
      <c r="T121" s="12" t="n"/>
      <c r="U121" s="12" t="n"/>
    </row>
    <row r="122">
      <c r="A122" s="10" t="inlineStr">
        <is>
          <t>OBS-118</t>
        </is>
      </c>
      <c r="B122" s="16" t="n"/>
      <c r="C122" s="12" t="n"/>
      <c r="D122" s="12" t="n"/>
      <c r="E122" s="10" t="inlineStr">
        <is>
          <t>Auto</t>
        </is>
      </c>
      <c r="F122" s="10" t="inlineStr">
        <is>
          <t>Cooling tower</t>
        </is>
      </c>
      <c r="G122" s="10" t="inlineStr">
        <is>
          <t>CT_05</t>
        </is>
      </c>
      <c r="H122" s="10" t="n">
        <v>2</v>
      </c>
      <c r="I122" s="10" t="n">
        <v>6</v>
      </c>
      <c r="J122" s="10" t="inlineStr">
        <is>
          <t>Paper tables and figures</t>
        </is>
      </c>
      <c r="K122" s="17" t="n"/>
      <c r="L122" s="17" t="n"/>
      <c r="M122" s="12" t="n">
        <v>0</v>
      </c>
      <c r="N122" s="14">
        <f>IF(OR(K122="",L122=""),"",ROUND((L122-K122)*1440-N(M122),1))</f>
        <v/>
      </c>
      <c r="O122" s="17" t="n"/>
      <c r="P122" s="17" t="n"/>
      <c r="Q122" s="14">
        <f>IF(OR(O122="",P122=""),"",ROUND((P122-O122)*1440,1))</f>
        <v/>
      </c>
      <c r="R122" s="12" t="n"/>
      <c r="S122" s="12" t="inlineStr">
        <is>
          <t>Not started</t>
        </is>
      </c>
      <c r="T122" s="12" t="n"/>
      <c r="U122" s="12" t="n"/>
    </row>
    <row r="123">
      <c r="A123" s="10" t="inlineStr">
        <is>
          <t>OBS-119</t>
        </is>
      </c>
      <c r="B123" s="16" t="n"/>
      <c r="C123" s="12" t="n"/>
      <c r="D123" s="12" t="n"/>
      <c r="E123" s="10" t="inlineStr">
        <is>
          <t>Auto</t>
        </is>
      </c>
      <c r="F123" s="10" t="inlineStr">
        <is>
          <t>Cooling tower</t>
        </is>
      </c>
      <c r="G123" s="10" t="inlineStr">
        <is>
          <t>CT_05</t>
        </is>
      </c>
      <c r="H123" s="10" t="n">
        <v>2</v>
      </c>
      <c r="I123" s="15" t="n">
        <v>7</v>
      </c>
      <c r="J123" s="15" t="inlineStr">
        <is>
          <t>Observability and evidence-grade review</t>
        </is>
      </c>
      <c r="K123" s="17" t="n"/>
      <c r="L123" s="17" t="n"/>
      <c r="M123" s="12" t="n">
        <v>0</v>
      </c>
      <c r="N123" s="14">
        <f>IF(OR(K123="",L123=""),"",ROUND((L123-K123)*1440-N(M123),1))</f>
        <v/>
      </c>
      <c r="O123" s="17" t="n"/>
      <c r="P123" s="17" t="n"/>
      <c r="Q123" s="14">
        <f>IF(OR(O123="",P123=""),"",ROUND((P123-O123)*1440,1))</f>
        <v/>
      </c>
      <c r="R123" s="12" t="n"/>
      <c r="S123" s="12" t="inlineStr">
        <is>
          <t>Not started</t>
        </is>
      </c>
      <c r="T123" s="12" t="n"/>
      <c r="U123" s="12" t="n"/>
    </row>
    <row r="124">
      <c r="A124" s="10" t="inlineStr">
        <is>
          <t>OBS-120</t>
        </is>
      </c>
      <c r="B124" s="16" t="n"/>
      <c r="C124" s="12" t="n"/>
      <c r="D124" s="12" t="n"/>
      <c r="E124" s="10" t="inlineStr">
        <is>
          <t>Auto</t>
        </is>
      </c>
      <c r="F124" s="10" t="inlineStr">
        <is>
          <t>Cooling tower</t>
        </is>
      </c>
      <c r="G124" s="10" t="inlineStr">
        <is>
          <t>CT_05</t>
        </is>
      </c>
      <c r="H124" s="10" t="n">
        <v>2</v>
      </c>
      <c r="I124" s="15" t="n">
        <v>8</v>
      </c>
      <c r="J124" s="15" t="inlineStr">
        <is>
          <t>Temporal split definition and audit</t>
        </is>
      </c>
      <c r="K124" s="17" t="n"/>
      <c r="L124" s="17" t="n"/>
      <c r="M124" s="12" t="n">
        <v>0</v>
      </c>
      <c r="N124" s="14">
        <f>IF(OR(K124="",L124=""),"",ROUND((L124-K124)*1440-N(M124),1))</f>
        <v/>
      </c>
      <c r="O124" s="17" t="n"/>
      <c r="P124" s="17" t="n"/>
      <c r="Q124" s="14">
        <f>IF(OR(O124="",P124=""),"",ROUND((P124-O124)*1440,1))</f>
        <v/>
      </c>
      <c r="R124" s="12" t="n"/>
      <c r="S124" s="12" t="inlineStr">
        <is>
          <t>Not started</t>
        </is>
      </c>
      <c r="T124" s="12" t="n"/>
      <c r="U124" s="12" t="n"/>
    </row>
    <row r="125">
      <c r="A125" s="10" t="inlineStr">
        <is>
          <t>OBS-121</t>
        </is>
      </c>
      <c r="B125" s="16" t="n"/>
      <c r="C125" s="12" t="n"/>
      <c r="D125" s="12" t="n"/>
      <c r="E125" s="10" t="inlineStr">
        <is>
          <t>Auto</t>
        </is>
      </c>
      <c r="F125" s="10" t="inlineStr">
        <is>
          <t>Cooling tower</t>
        </is>
      </c>
      <c r="G125" s="10" t="inlineStr">
        <is>
          <t>CT_02</t>
        </is>
      </c>
      <c r="H125" s="10" t="n">
        <v>3</v>
      </c>
      <c r="I125" s="10" t="n">
        <v>1</v>
      </c>
      <c r="J125" s="10" t="inlineStr">
        <is>
          <t>Data loading and semantic mapping</t>
        </is>
      </c>
      <c r="K125" s="17" t="n"/>
      <c r="L125" s="17" t="n"/>
      <c r="M125" s="12" t="n">
        <v>0</v>
      </c>
      <c r="N125" s="14">
        <f>IF(OR(K125="",L125=""),"",ROUND((L125-K125)*1440-N(M125),1))</f>
        <v/>
      </c>
      <c r="O125" s="17" t="n"/>
      <c r="P125" s="17" t="n"/>
      <c r="Q125" s="14">
        <f>IF(OR(O125="",P125=""),"",ROUND((P125-O125)*1440,1))</f>
        <v/>
      </c>
      <c r="R125" s="12" t="n"/>
      <c r="S125" s="12" t="inlineStr">
        <is>
          <t>Not started</t>
        </is>
      </c>
      <c r="T125" s="12" t="n"/>
      <c r="U125" s="12" t="n"/>
    </row>
    <row r="126">
      <c r="A126" s="10" t="inlineStr">
        <is>
          <t>OBS-122</t>
        </is>
      </c>
      <c r="B126" s="16" t="n"/>
      <c r="C126" s="12" t="n"/>
      <c r="D126" s="12" t="n"/>
      <c r="E126" s="10" t="inlineStr">
        <is>
          <t>Auto</t>
        </is>
      </c>
      <c r="F126" s="10" t="inlineStr">
        <is>
          <t>Cooling tower</t>
        </is>
      </c>
      <c r="G126" s="10" t="inlineStr">
        <is>
          <t>CT_02</t>
        </is>
      </c>
      <c r="H126" s="10" t="n">
        <v>3</v>
      </c>
      <c r="I126" s="10" t="n">
        <v>2</v>
      </c>
      <c r="J126" s="10" t="inlineStr">
        <is>
          <t>Valid model input table preparation</t>
        </is>
      </c>
      <c r="K126" s="17" t="n"/>
      <c r="L126" s="17" t="n"/>
      <c r="M126" s="12" t="n">
        <v>0</v>
      </c>
      <c r="N126" s="14">
        <f>IF(OR(K126="",L126=""),"",ROUND((L126-K126)*1440-N(M126),1))</f>
        <v/>
      </c>
      <c r="O126" s="17" t="n"/>
      <c r="P126" s="17" t="n"/>
      <c r="Q126" s="14">
        <f>IF(OR(O126="",P126=""),"",ROUND((P126-O126)*1440,1))</f>
        <v/>
      </c>
      <c r="R126" s="12" t="n"/>
      <c r="S126" s="12" t="inlineStr">
        <is>
          <t>Not started</t>
        </is>
      </c>
      <c r="T126" s="12" t="n"/>
      <c r="U126" s="12" t="n"/>
    </row>
    <row r="127">
      <c r="A127" s="10" t="inlineStr">
        <is>
          <t>OBS-123</t>
        </is>
      </c>
      <c r="B127" s="16" t="n"/>
      <c r="C127" s="12" t="n"/>
      <c r="D127" s="12" t="n"/>
      <c r="E127" s="10" t="inlineStr">
        <is>
          <t>Auto</t>
        </is>
      </c>
      <c r="F127" s="10" t="inlineStr">
        <is>
          <t>Cooling tower</t>
        </is>
      </c>
      <c r="G127" s="10" t="inlineStr">
        <is>
          <t>CT_02</t>
        </is>
      </c>
      <c r="H127" s="10" t="n">
        <v>3</v>
      </c>
      <c r="I127" s="10" t="n">
        <v>3</v>
      </c>
      <c r="J127" s="10" t="inlineStr">
        <is>
          <t>Modelica/FMU candidate setup</t>
        </is>
      </c>
      <c r="K127" s="17" t="n"/>
      <c r="L127" s="17" t="n"/>
      <c r="M127" s="12" t="n">
        <v>0</v>
      </c>
      <c r="N127" s="14">
        <f>IF(OR(K127="",L127=""),"",ROUND((L127-K127)*1440-N(M127),1))</f>
        <v/>
      </c>
      <c r="O127" s="17" t="n"/>
      <c r="P127" s="17" t="n"/>
      <c r="Q127" s="14">
        <f>IF(OR(O127="",P127=""),"",ROUND((P127-O127)*1440,1))</f>
        <v/>
      </c>
      <c r="R127" s="12" t="n"/>
      <c r="S127" s="12" t="inlineStr">
        <is>
          <t>Not started</t>
        </is>
      </c>
      <c r="T127" s="12" t="n"/>
      <c r="U127" s="12" t="n"/>
    </row>
    <row r="128">
      <c r="A128" s="10" t="inlineStr">
        <is>
          <t>OBS-124</t>
        </is>
      </c>
      <c r="B128" s="16" t="n"/>
      <c r="C128" s="12" t="n"/>
      <c r="D128" s="12" t="n"/>
      <c r="E128" s="10" t="inlineStr">
        <is>
          <t>Auto</t>
        </is>
      </c>
      <c r="F128" s="10" t="inlineStr">
        <is>
          <t>Cooling tower</t>
        </is>
      </c>
      <c r="G128" s="10" t="inlineStr">
        <is>
          <t>CT_02</t>
        </is>
      </c>
      <c r="H128" s="10" t="n">
        <v>3</v>
      </c>
      <c r="I128" s="10" t="n">
        <v>4</v>
      </c>
      <c r="J128" s="10" t="inlineStr">
        <is>
          <t>FMU parameter search</t>
        </is>
      </c>
      <c r="K128" s="17" t="n"/>
      <c r="L128" s="17" t="n"/>
      <c r="M128" s="12" t="n">
        <v>0</v>
      </c>
      <c r="N128" s="14">
        <f>IF(OR(K128="",L128=""),"",ROUND((L128-K128)*1440-N(M128),1))</f>
        <v/>
      </c>
      <c r="O128" s="17" t="n"/>
      <c r="P128" s="17" t="n"/>
      <c r="Q128" s="14">
        <f>IF(OR(O128="",P128=""),"",ROUND((P128-O128)*1440,1))</f>
        <v/>
      </c>
      <c r="R128" s="12" t="n"/>
      <c r="S128" s="12" t="inlineStr">
        <is>
          <t>Not started</t>
        </is>
      </c>
      <c r="T128" s="12" t="n"/>
      <c r="U128" s="12" t="n"/>
    </row>
    <row r="129">
      <c r="A129" s="10" t="inlineStr">
        <is>
          <t>OBS-125</t>
        </is>
      </c>
      <c r="B129" s="16" t="n"/>
      <c r="C129" s="12" t="n"/>
      <c r="D129" s="12" t="n"/>
      <c r="E129" s="10" t="inlineStr">
        <is>
          <t>Auto</t>
        </is>
      </c>
      <c r="F129" s="10" t="inlineStr">
        <is>
          <t>Cooling tower</t>
        </is>
      </c>
      <c r="G129" s="10" t="inlineStr">
        <is>
          <t>CT_02</t>
        </is>
      </c>
      <c r="H129" s="10" t="n">
        <v>3</v>
      </c>
      <c r="I129" s="10" t="n">
        <v>5</v>
      </c>
      <c r="J129" s="10" t="inlineStr">
        <is>
          <t>Full-period refinement and validation</t>
        </is>
      </c>
      <c r="K129" s="17" t="n"/>
      <c r="L129" s="17" t="n"/>
      <c r="M129" s="12" t="n">
        <v>0</v>
      </c>
      <c r="N129" s="14">
        <f>IF(OR(K129="",L129=""),"",ROUND((L129-K129)*1440-N(M129),1))</f>
        <v/>
      </c>
      <c r="O129" s="17" t="n"/>
      <c r="P129" s="17" t="n"/>
      <c r="Q129" s="14">
        <f>IF(OR(O129="",P129=""),"",ROUND((P129-O129)*1440,1))</f>
        <v/>
      </c>
      <c r="R129" s="12" t="n"/>
      <c r="S129" s="12" t="inlineStr">
        <is>
          <t>Not started</t>
        </is>
      </c>
      <c r="T129" s="12" t="n"/>
      <c r="U129" s="12" t="n"/>
    </row>
    <row r="130">
      <c r="A130" s="10" t="inlineStr">
        <is>
          <t>OBS-126</t>
        </is>
      </c>
      <c r="B130" s="16" t="n"/>
      <c r="C130" s="12" t="n"/>
      <c r="D130" s="12" t="n"/>
      <c r="E130" s="10" t="inlineStr">
        <is>
          <t>Auto</t>
        </is>
      </c>
      <c r="F130" s="10" t="inlineStr">
        <is>
          <t>Cooling tower</t>
        </is>
      </c>
      <c r="G130" s="10" t="inlineStr">
        <is>
          <t>CT_02</t>
        </is>
      </c>
      <c r="H130" s="10" t="n">
        <v>3</v>
      </c>
      <c r="I130" s="10" t="n">
        <v>6</v>
      </c>
      <c r="J130" s="10" t="inlineStr">
        <is>
          <t>Paper tables and figures</t>
        </is>
      </c>
      <c r="K130" s="17" t="n"/>
      <c r="L130" s="17" t="n"/>
      <c r="M130" s="12" t="n">
        <v>0</v>
      </c>
      <c r="N130" s="14">
        <f>IF(OR(K130="",L130=""),"",ROUND((L130-K130)*1440-N(M130),1))</f>
        <v/>
      </c>
      <c r="O130" s="17" t="n"/>
      <c r="P130" s="17" t="n"/>
      <c r="Q130" s="14">
        <f>IF(OR(O130="",P130=""),"",ROUND((P130-O130)*1440,1))</f>
        <v/>
      </c>
      <c r="R130" s="12" t="n"/>
      <c r="S130" s="12" t="inlineStr">
        <is>
          <t>Not started</t>
        </is>
      </c>
      <c r="T130" s="12" t="n"/>
      <c r="U130" s="12" t="n"/>
    </row>
    <row r="131">
      <c r="A131" s="10" t="inlineStr">
        <is>
          <t>OBS-127</t>
        </is>
      </c>
      <c r="B131" s="16" t="n"/>
      <c r="C131" s="12" t="n"/>
      <c r="D131" s="12" t="n"/>
      <c r="E131" s="10" t="inlineStr">
        <is>
          <t>Auto</t>
        </is>
      </c>
      <c r="F131" s="10" t="inlineStr">
        <is>
          <t>Cooling tower</t>
        </is>
      </c>
      <c r="G131" s="10" t="inlineStr">
        <is>
          <t>CT_02</t>
        </is>
      </c>
      <c r="H131" s="10" t="n">
        <v>3</v>
      </c>
      <c r="I131" s="15" t="n">
        <v>7</v>
      </c>
      <c r="J131" s="15" t="inlineStr">
        <is>
          <t>Observability and evidence-grade review</t>
        </is>
      </c>
      <c r="K131" s="17" t="n"/>
      <c r="L131" s="17" t="n"/>
      <c r="M131" s="12" t="n">
        <v>0</v>
      </c>
      <c r="N131" s="14">
        <f>IF(OR(K131="",L131=""),"",ROUND((L131-K131)*1440-N(M131),1))</f>
        <v/>
      </c>
      <c r="O131" s="17" t="n"/>
      <c r="P131" s="17" t="n"/>
      <c r="Q131" s="14">
        <f>IF(OR(O131="",P131=""),"",ROUND((P131-O131)*1440,1))</f>
        <v/>
      </c>
      <c r="R131" s="12" t="n"/>
      <c r="S131" s="12" t="inlineStr">
        <is>
          <t>Not started</t>
        </is>
      </c>
      <c r="T131" s="12" t="n"/>
      <c r="U131" s="12" t="n"/>
    </row>
    <row r="132">
      <c r="A132" s="10" t="inlineStr">
        <is>
          <t>OBS-128</t>
        </is>
      </c>
      <c r="B132" s="16" t="n"/>
      <c r="C132" s="12" t="n"/>
      <c r="D132" s="12" t="n"/>
      <c r="E132" s="10" t="inlineStr">
        <is>
          <t>Auto</t>
        </is>
      </c>
      <c r="F132" s="10" t="inlineStr">
        <is>
          <t>Cooling tower</t>
        </is>
      </c>
      <c r="G132" s="10" t="inlineStr">
        <is>
          <t>CT_02</t>
        </is>
      </c>
      <c r="H132" s="10" t="n">
        <v>3</v>
      </c>
      <c r="I132" s="15" t="n">
        <v>8</v>
      </c>
      <c r="J132" s="15" t="inlineStr">
        <is>
          <t>Temporal split definition and audit</t>
        </is>
      </c>
      <c r="K132" s="17" t="n"/>
      <c r="L132" s="17" t="n"/>
      <c r="M132" s="12" t="n">
        <v>0</v>
      </c>
      <c r="N132" s="14">
        <f>IF(OR(K132="",L132=""),"",ROUND((L132-K132)*1440-N(M132),1))</f>
        <v/>
      </c>
      <c r="O132" s="17" t="n"/>
      <c r="P132" s="17" t="n"/>
      <c r="Q132" s="14">
        <f>IF(OR(O132="",P132=""),"",ROUND((P132-O132)*1440,1))</f>
        <v/>
      </c>
      <c r="R132" s="12" t="n"/>
      <c r="S132" s="12" t="inlineStr">
        <is>
          <t>Not started</t>
        </is>
      </c>
      <c r="T132" s="12" t="n"/>
      <c r="U132" s="12" t="n"/>
    </row>
    <row r="133">
      <c r="A133" s="10" t="inlineStr">
        <is>
          <t>OBS-129</t>
        </is>
      </c>
      <c r="B133" s="16" t="n">
        <v>46189</v>
      </c>
      <c r="C133" s="12" t="inlineStr">
        <is>
          <t>OP-001</t>
        </is>
      </c>
      <c r="D133" s="12" t="inlineStr">
        <is>
          <t>OBS-001</t>
        </is>
      </c>
      <c r="E133" s="10" t="inlineStr">
        <is>
          <t>Manual</t>
        </is>
      </c>
      <c r="F133" s="10" t="inlineStr">
        <is>
          <t>Pump</t>
        </is>
      </c>
      <c r="G133" s="10" t="inlineStr">
        <is>
          <t>FAMILY_SETUP</t>
        </is>
      </c>
      <c r="H133" s="10" t="n">
        <v>0</v>
      </c>
      <c r="I133" s="10" t="n">
        <v>1</v>
      </c>
      <c r="J133" s="10" t="inlineStr">
        <is>
          <t>Data loading and semantic mapping</t>
        </is>
      </c>
      <c r="K133" s="17" t="n">
        <v>46189.36111111111</v>
      </c>
      <c r="L133" s="17" t="n">
        <v>46189.37847222222</v>
      </c>
      <c r="M133" s="12" t="n">
        <v>0</v>
      </c>
      <c r="N133" s="14">
        <f>IF(OR(K133="",L133=""),"",ROUND((L133-K133)*1440-N(M133),1))</f>
        <v/>
      </c>
      <c r="O133" s="17" t="n"/>
      <c r="P133" s="17" t="n"/>
      <c r="Q133" s="14">
        <f>IF(OR(O133="",P133=""),"",ROUND((P133-O133)*1440,1))</f>
        <v/>
      </c>
      <c r="R133" s="12" t="n"/>
      <c r="S133" s="12" t="inlineStr">
        <is>
          <t>Complete</t>
        </is>
      </c>
      <c r="T133" s="12" t="n"/>
      <c r="U133" s="12" t="n"/>
    </row>
    <row r="134">
      <c r="A134" s="10" t="inlineStr">
        <is>
          <t>OBS-130</t>
        </is>
      </c>
      <c r="B134" s="16" t="n">
        <v>46189</v>
      </c>
      <c r="C134" s="12" t="inlineStr">
        <is>
          <t>OP-001</t>
        </is>
      </c>
      <c r="D134" s="12" t="inlineStr">
        <is>
          <t>OBS-001</t>
        </is>
      </c>
      <c r="E134" s="10" t="inlineStr">
        <is>
          <t>Manual</t>
        </is>
      </c>
      <c r="F134" s="10" t="inlineStr">
        <is>
          <t>Pump</t>
        </is>
      </c>
      <c r="G134" s="10" t="inlineStr">
        <is>
          <t>FAMILY_SETUP</t>
        </is>
      </c>
      <c r="H134" s="10" t="n">
        <v>0</v>
      </c>
      <c r="I134" s="10" t="n">
        <v>2</v>
      </c>
      <c r="J134" s="10" t="inlineStr">
        <is>
          <t>Valid model input table preparation</t>
        </is>
      </c>
      <c r="K134" s="17" t="n">
        <v>46189.38472222222</v>
      </c>
      <c r="L134" s="17" t="n">
        <v>46189.40208333333</v>
      </c>
      <c r="M134" s="12" t="n">
        <v>0</v>
      </c>
      <c r="N134" s="14">
        <f>IF(OR(K134="",L134=""),"",ROUND((L134-K134)*1440-N(M134),1))</f>
        <v/>
      </c>
      <c r="O134" s="17" t="n"/>
      <c r="P134" s="17" t="n"/>
      <c r="Q134" s="14">
        <f>IF(OR(O134="",P134=""),"",ROUND((P134-O134)*1440,1))</f>
        <v/>
      </c>
      <c r="R134" s="12" t="n"/>
      <c r="S134" s="12" t="inlineStr">
        <is>
          <t>Complete</t>
        </is>
      </c>
      <c r="T134" s="12" t="n"/>
      <c r="U134" s="12" t="n"/>
    </row>
    <row r="135">
      <c r="A135" s="10" t="inlineStr">
        <is>
          <t>OBS-131</t>
        </is>
      </c>
      <c r="B135" s="16" t="n">
        <v>46189</v>
      </c>
      <c r="C135" s="12" t="inlineStr">
        <is>
          <t>OP-001</t>
        </is>
      </c>
      <c r="D135" s="12" t="inlineStr">
        <is>
          <t>OBS-001</t>
        </is>
      </c>
      <c r="E135" s="10" t="inlineStr">
        <is>
          <t>Manual</t>
        </is>
      </c>
      <c r="F135" s="10" t="inlineStr">
        <is>
          <t>Pump</t>
        </is>
      </c>
      <c r="G135" s="10" t="inlineStr">
        <is>
          <t>FAMILY_SETUP</t>
        </is>
      </c>
      <c r="H135" s="10" t="n">
        <v>0</v>
      </c>
      <c r="I135" s="10" t="n">
        <v>3</v>
      </c>
      <c r="J135" s="10" t="inlineStr">
        <is>
          <t>Modelica/FMU candidate setup</t>
        </is>
      </c>
      <c r="K135" s="17" t="n">
        <v>46189.40416666667</v>
      </c>
      <c r="L135" s="17" t="n">
        <v>46189.42847222222</v>
      </c>
      <c r="M135" s="12" t="n">
        <v>0</v>
      </c>
      <c r="N135" s="14">
        <f>IF(OR(K135="",L135=""),"",ROUND((L135-K135)*1440-N(M135),1))</f>
        <v/>
      </c>
      <c r="O135" s="17" t="n"/>
      <c r="P135" s="17" t="n"/>
      <c r="Q135" s="14">
        <f>IF(OR(O135="",P135=""),"",ROUND((P135-O135)*1440,1))</f>
        <v/>
      </c>
      <c r="R135" s="12" t="n"/>
      <c r="S135" s="12" t="inlineStr">
        <is>
          <t>Complete</t>
        </is>
      </c>
      <c r="T135" s="12" t="n"/>
      <c r="U135" s="12" t="n"/>
    </row>
    <row r="136">
      <c r="A136" s="10" t="inlineStr">
        <is>
          <t>OBS-132</t>
        </is>
      </c>
      <c r="B136" s="16" t="n">
        <v>46189</v>
      </c>
      <c r="C136" s="12" t="inlineStr">
        <is>
          <t>OP-001</t>
        </is>
      </c>
      <c r="D136" s="12" t="inlineStr">
        <is>
          <t>OBS-001</t>
        </is>
      </c>
      <c r="E136" s="10" t="inlineStr">
        <is>
          <t>Manual</t>
        </is>
      </c>
      <c r="F136" s="10" t="inlineStr">
        <is>
          <t>Pump</t>
        </is>
      </c>
      <c r="G136" s="10" t="inlineStr">
        <is>
          <t>FAMILY_SETUP</t>
        </is>
      </c>
      <c r="H136" s="10" t="n">
        <v>0</v>
      </c>
      <c r="I136" s="10" t="n">
        <v>4</v>
      </c>
      <c r="J136" s="10" t="inlineStr">
        <is>
          <t>FMU parameter search</t>
        </is>
      </c>
      <c r="K136" s="17" t="n">
        <v>46189.43402777778</v>
      </c>
      <c r="L136" s="17" t="n">
        <v>46189.45138888889</v>
      </c>
      <c r="M136" s="12" t="n">
        <v>0</v>
      </c>
      <c r="N136" s="14">
        <f>IF(OR(K136="",L136=""),"",ROUND((L136-K136)*1440-N(M136),1))</f>
        <v/>
      </c>
      <c r="O136" s="17" t="n"/>
      <c r="P136" s="17" t="n"/>
      <c r="Q136" s="14">
        <f>IF(OR(O136="",P136=""),"",ROUND((P136-O136)*1440,1))</f>
        <v/>
      </c>
      <c r="R136" s="12" t="n"/>
      <c r="S136" s="12" t="inlineStr">
        <is>
          <t>Complete</t>
        </is>
      </c>
      <c r="T136" s="12" t="n"/>
      <c r="U136" s="12" t="n"/>
    </row>
    <row r="137">
      <c r="A137" s="10" t="inlineStr">
        <is>
          <t>OBS-133</t>
        </is>
      </c>
      <c r="B137" s="16" t="n">
        <v>46189</v>
      </c>
      <c r="C137" s="12" t="inlineStr">
        <is>
          <t>OP-001</t>
        </is>
      </c>
      <c r="D137" s="12" t="inlineStr">
        <is>
          <t>OBS-001</t>
        </is>
      </c>
      <c r="E137" s="10" t="inlineStr">
        <is>
          <t>Manual</t>
        </is>
      </c>
      <c r="F137" s="10" t="inlineStr">
        <is>
          <t>Pump</t>
        </is>
      </c>
      <c r="G137" s="10" t="inlineStr">
        <is>
          <t>FAMILY_SETUP</t>
        </is>
      </c>
      <c r="H137" s="10" t="n">
        <v>0</v>
      </c>
      <c r="I137" s="10" t="n">
        <v>5</v>
      </c>
      <c r="J137" s="10" t="inlineStr">
        <is>
          <t>Full-period refinement and validation</t>
        </is>
      </c>
      <c r="K137" s="17" t="n">
        <v>46189.46180555555</v>
      </c>
      <c r="L137" s="17" t="n">
        <v>46189.47569444445</v>
      </c>
      <c r="M137" s="12" t="n">
        <v>0</v>
      </c>
      <c r="N137" s="14">
        <f>IF(OR(K137="",L137=""),"",ROUND((L137-K137)*1440-N(M137),1))</f>
        <v/>
      </c>
      <c r="O137" s="17" t="n"/>
      <c r="P137" s="17" t="n"/>
      <c r="Q137" s="14">
        <f>IF(OR(O137="",P137=""),"",ROUND((P137-O137)*1440,1))</f>
        <v/>
      </c>
      <c r="R137" s="12" t="n"/>
      <c r="S137" s="12" t="inlineStr">
        <is>
          <t>Complete</t>
        </is>
      </c>
      <c r="T137" s="12" t="n"/>
      <c r="U137" s="12" t="n"/>
    </row>
    <row r="138">
      <c r="A138" s="10" t="inlineStr">
        <is>
          <t>OBS-134</t>
        </is>
      </c>
      <c r="B138" s="16" t="n">
        <v>46189</v>
      </c>
      <c r="C138" s="12" t="inlineStr">
        <is>
          <t>OP-001</t>
        </is>
      </c>
      <c r="D138" s="12" t="inlineStr">
        <is>
          <t>OBS-001</t>
        </is>
      </c>
      <c r="E138" s="10" t="inlineStr">
        <is>
          <t>Manual</t>
        </is>
      </c>
      <c r="F138" s="10" t="inlineStr">
        <is>
          <t>Pump</t>
        </is>
      </c>
      <c r="G138" s="10" t="inlineStr">
        <is>
          <t>FAMILY_SETUP</t>
        </is>
      </c>
      <c r="H138" s="10" t="n">
        <v>0</v>
      </c>
      <c r="I138" s="10" t="n">
        <v>6</v>
      </c>
      <c r="J138" s="10" t="inlineStr">
        <is>
          <t>Paper tables and figures</t>
        </is>
      </c>
      <c r="K138" s="17" t="n">
        <v>46189.48055555556</v>
      </c>
      <c r="L138" s="17" t="n">
        <v>46189.49097222222</v>
      </c>
      <c r="M138" s="12" t="n">
        <v>0</v>
      </c>
      <c r="N138" s="14">
        <f>IF(OR(K138="",L138=""),"",ROUND((L138-K138)*1440-N(M138),1))</f>
        <v/>
      </c>
      <c r="O138" s="17" t="n"/>
      <c r="P138" s="17" t="n"/>
      <c r="Q138" s="14">
        <f>IF(OR(O138="",P138=""),"",ROUND((P138-O138)*1440,1))</f>
        <v/>
      </c>
      <c r="R138" s="12" t="n"/>
      <c r="S138" s="12" t="inlineStr">
        <is>
          <t>Complete</t>
        </is>
      </c>
      <c r="T138" s="12" t="n"/>
      <c r="U138" s="12" t="n"/>
    </row>
    <row r="139">
      <c r="A139" s="10" t="inlineStr">
        <is>
          <t>OBS-135</t>
        </is>
      </c>
      <c r="B139" s="16" t="n">
        <v>46190</v>
      </c>
      <c r="C139" s="12" t="inlineStr">
        <is>
          <t>OP-001</t>
        </is>
      </c>
      <c r="D139" s="12" t="inlineStr">
        <is>
          <t>OBS-001</t>
        </is>
      </c>
      <c r="E139" s="10" t="inlineStr">
        <is>
          <t>Manual</t>
        </is>
      </c>
      <c r="F139" s="10" t="inlineStr">
        <is>
          <t>Pump</t>
        </is>
      </c>
      <c r="G139" s="10" t="inlineStr">
        <is>
          <t>FAMILY_SETUP</t>
        </is>
      </c>
      <c r="H139" s="10" t="n">
        <v>0</v>
      </c>
      <c r="I139" s="15" t="n">
        <v>7</v>
      </c>
      <c r="J139" s="15" t="inlineStr">
        <is>
          <t>Observability and evidence-grade review</t>
        </is>
      </c>
      <c r="K139" s="17" t="n">
        <v>46190.35208333333</v>
      </c>
      <c r="L139" s="17" t="n">
        <v>46190.37638888889</v>
      </c>
      <c r="M139" s="12" t="n">
        <v>0</v>
      </c>
      <c r="N139" s="14">
        <f>IF(OR(K139="",L139=""),"",ROUND((L139-K139)*1440-N(M139),1))</f>
        <v/>
      </c>
      <c r="O139" s="17" t="n"/>
      <c r="P139" s="17" t="n"/>
      <c r="Q139" s="14">
        <f>IF(OR(O139="",P139=""),"",ROUND((P139-O139)*1440,1))</f>
        <v/>
      </c>
      <c r="R139" s="12" t="n"/>
      <c r="S139" s="12" t="inlineStr">
        <is>
          <t>Complete</t>
        </is>
      </c>
      <c r="T139" s="12" t="n"/>
      <c r="U139" s="12" t="n"/>
    </row>
    <row r="140">
      <c r="A140" s="10" t="inlineStr">
        <is>
          <t>OBS-136</t>
        </is>
      </c>
      <c r="B140" s="16" t="n">
        <v>46190</v>
      </c>
      <c r="C140" s="12" t="inlineStr">
        <is>
          <t>OP-001</t>
        </is>
      </c>
      <c r="D140" s="12" t="inlineStr">
        <is>
          <t>OBS-001</t>
        </is>
      </c>
      <c r="E140" s="10" t="inlineStr">
        <is>
          <t>Manual</t>
        </is>
      </c>
      <c r="F140" s="10" t="inlineStr">
        <is>
          <t>Pump</t>
        </is>
      </c>
      <c r="G140" s="10" t="inlineStr">
        <is>
          <t>FAMILY_SETUP</t>
        </is>
      </c>
      <c r="H140" s="10" t="n">
        <v>0</v>
      </c>
      <c r="I140" s="15" t="n">
        <v>8</v>
      </c>
      <c r="J140" s="15" t="inlineStr">
        <is>
          <t>Temporal split definition and audit</t>
        </is>
      </c>
      <c r="K140" s="17" t="n">
        <v>46190.37916666667</v>
      </c>
      <c r="L140" s="17" t="n">
        <v>46190.39305555556</v>
      </c>
      <c r="M140" s="12" t="n">
        <v>0</v>
      </c>
      <c r="N140" s="14">
        <f>IF(OR(K140="",L140=""),"",ROUND((L140-K140)*1440-N(M140),1))</f>
        <v/>
      </c>
      <c r="O140" s="17" t="n"/>
      <c r="P140" s="17" t="n"/>
      <c r="Q140" s="14">
        <f>IF(OR(O140="",P140=""),"",ROUND((P140-O140)*1440,1))</f>
        <v/>
      </c>
      <c r="R140" s="12" t="n"/>
      <c r="S140" s="12" t="inlineStr">
        <is>
          <t>Complete</t>
        </is>
      </c>
      <c r="T140" s="12" t="n"/>
      <c r="U140" s="12" t="n"/>
    </row>
    <row r="141">
      <c r="A141" s="10" t="inlineStr">
        <is>
          <t>OBS-137</t>
        </is>
      </c>
      <c r="B141" s="16" t="n">
        <v>46190</v>
      </c>
      <c r="C141" s="12" t="inlineStr">
        <is>
          <t>OP-001</t>
        </is>
      </c>
      <c r="D141" s="12" t="inlineStr">
        <is>
          <t>OBS-001</t>
        </is>
      </c>
      <c r="E141" s="10" t="inlineStr">
        <is>
          <t>Manual</t>
        </is>
      </c>
      <c r="F141" s="10" t="inlineStr">
        <is>
          <t>Pump</t>
        </is>
      </c>
      <c r="G141" s="10" t="inlineStr">
        <is>
          <t>CDWP_03</t>
        </is>
      </c>
      <c r="H141" s="10" t="n">
        <v>1</v>
      </c>
      <c r="I141" s="10" t="n">
        <v>1</v>
      </c>
      <c r="J141" s="10" t="inlineStr">
        <is>
          <t>Data loading and semantic mapping</t>
        </is>
      </c>
      <c r="K141" s="17" t="n">
        <v>46190.39722222222</v>
      </c>
      <c r="L141" s="17" t="n">
        <v>46190.41458333333</v>
      </c>
      <c r="M141" s="12" t="n">
        <v>0</v>
      </c>
      <c r="N141" s="14">
        <f>IF(OR(K141="",L141=""),"",ROUND((L141-K141)*1440-N(M141),1))</f>
        <v/>
      </c>
      <c r="O141" s="17" t="n"/>
      <c r="P141" s="17" t="n"/>
      <c r="Q141" s="14">
        <f>IF(OR(O141="",P141=""),"",ROUND((P141-O141)*1440,1))</f>
        <v/>
      </c>
      <c r="R141" s="12" t="n"/>
      <c r="S141" s="12" t="inlineStr">
        <is>
          <t>Complete</t>
        </is>
      </c>
      <c r="T141" s="12" t="n"/>
      <c r="U141" s="12" t="n"/>
    </row>
    <row r="142">
      <c r="A142" s="10" t="inlineStr">
        <is>
          <t>OBS-138</t>
        </is>
      </c>
      <c r="B142" s="16" t="n">
        <v>46190</v>
      </c>
      <c r="C142" s="12" t="inlineStr">
        <is>
          <t>OP-001</t>
        </is>
      </c>
      <c r="D142" s="12" t="inlineStr">
        <is>
          <t>OBS-001</t>
        </is>
      </c>
      <c r="E142" s="10" t="inlineStr">
        <is>
          <t>Manual</t>
        </is>
      </c>
      <c r="F142" s="10" t="inlineStr">
        <is>
          <t>Pump</t>
        </is>
      </c>
      <c r="G142" s="10" t="inlineStr">
        <is>
          <t>CDWP_03</t>
        </is>
      </c>
      <c r="H142" s="10" t="n">
        <v>1</v>
      </c>
      <c r="I142" s="10" t="n">
        <v>2</v>
      </c>
      <c r="J142" s="10" t="inlineStr">
        <is>
          <t>Valid model input table preparation</t>
        </is>
      </c>
      <c r="K142" s="17" t="n">
        <v>46190.41805555556</v>
      </c>
      <c r="L142" s="17" t="n">
        <v>46190.43888888889</v>
      </c>
      <c r="M142" s="12" t="n">
        <v>0</v>
      </c>
      <c r="N142" s="14">
        <f>IF(OR(K142="",L142=""),"",ROUND((L142-K142)*1440-N(M142),1))</f>
        <v/>
      </c>
      <c r="O142" s="17" t="n"/>
      <c r="P142" s="17" t="n"/>
      <c r="Q142" s="14">
        <f>IF(OR(O142="",P142=""),"",ROUND((P142-O142)*1440,1))</f>
        <v/>
      </c>
      <c r="R142" s="12" t="n"/>
      <c r="S142" s="12" t="inlineStr">
        <is>
          <t>Complete</t>
        </is>
      </c>
      <c r="T142" s="12" t="n"/>
      <c r="U142" s="12" t="n"/>
    </row>
    <row r="143">
      <c r="A143" s="10" t="inlineStr">
        <is>
          <t>OBS-139</t>
        </is>
      </c>
      <c r="B143" s="16" t="n">
        <v>46190</v>
      </c>
      <c r="C143" s="12" t="inlineStr">
        <is>
          <t>OP-001</t>
        </is>
      </c>
      <c r="D143" s="12" t="inlineStr">
        <is>
          <t>OBS-001</t>
        </is>
      </c>
      <c r="E143" s="10" t="inlineStr">
        <is>
          <t>Manual</t>
        </is>
      </c>
      <c r="F143" s="10" t="inlineStr">
        <is>
          <t>Pump</t>
        </is>
      </c>
      <c r="G143" s="10" t="inlineStr">
        <is>
          <t>CDWP_03</t>
        </is>
      </c>
      <c r="H143" s="10" t="n">
        <v>1</v>
      </c>
      <c r="I143" s="10" t="n">
        <v>3</v>
      </c>
      <c r="J143" s="10" t="inlineStr">
        <is>
          <t>Modelica/FMU candidate setup</t>
        </is>
      </c>
      <c r="K143" s="17" t="n">
        <v>46190.44444444445</v>
      </c>
      <c r="L143" s="17" t="n">
        <v>46190.46527777778</v>
      </c>
      <c r="M143" s="12" t="n">
        <v>0</v>
      </c>
      <c r="N143" s="14">
        <f>IF(OR(K143="",L143=""),"",ROUND((L143-K143)*1440-N(M143),1))</f>
        <v/>
      </c>
      <c r="O143" s="17" t="n"/>
      <c r="P143" s="17" t="n"/>
      <c r="Q143" s="14">
        <f>IF(OR(O143="",P143=""),"",ROUND((P143-O143)*1440,1))</f>
        <v/>
      </c>
      <c r="R143" s="12" t="n"/>
      <c r="S143" s="12" t="inlineStr">
        <is>
          <t>Complete</t>
        </is>
      </c>
      <c r="T143" s="12" t="n"/>
      <c r="U143" s="12" t="n"/>
    </row>
    <row r="144">
      <c r="A144" s="10" t="inlineStr">
        <is>
          <t>OBS-140</t>
        </is>
      </c>
      <c r="B144" s="16" t="n">
        <v>46190</v>
      </c>
      <c r="C144" s="12" t="inlineStr">
        <is>
          <t>OP-001</t>
        </is>
      </c>
      <c r="D144" s="12" t="inlineStr">
        <is>
          <t>OBS-001</t>
        </is>
      </c>
      <c r="E144" s="10" t="inlineStr">
        <is>
          <t>Manual</t>
        </is>
      </c>
      <c r="F144" s="10" t="inlineStr">
        <is>
          <t>Pump</t>
        </is>
      </c>
      <c r="G144" s="10" t="inlineStr">
        <is>
          <t>CDWP_03</t>
        </is>
      </c>
      <c r="H144" s="10" t="n">
        <v>1</v>
      </c>
      <c r="I144" s="10" t="n">
        <v>4</v>
      </c>
      <c r="J144" s="10" t="inlineStr">
        <is>
          <t>FMU parameter search</t>
        </is>
      </c>
      <c r="K144" s="17" t="n">
        <v>46190.47222222222</v>
      </c>
      <c r="L144" s="17" t="n">
        <v>46190.51041666666</v>
      </c>
      <c r="M144" s="12" t="n">
        <v>0</v>
      </c>
      <c r="N144" s="14">
        <f>IF(OR(K144="",L144=""),"",ROUND((L144-K144)*1440-N(M144),1))</f>
        <v/>
      </c>
      <c r="O144" s="17" t="n"/>
      <c r="P144" s="17" t="n"/>
      <c r="Q144" s="14">
        <f>IF(OR(O144="",P144=""),"",ROUND((P144-O144)*1440,1))</f>
        <v/>
      </c>
      <c r="R144" s="12" t="n"/>
      <c r="S144" s="12" t="inlineStr">
        <is>
          <t>Complete</t>
        </is>
      </c>
      <c r="T144" s="12" t="n"/>
      <c r="U144" s="12" t="n"/>
    </row>
    <row r="145">
      <c r="A145" s="10" t="inlineStr">
        <is>
          <t>OBS-141</t>
        </is>
      </c>
      <c r="B145" s="16" t="n">
        <v>46190</v>
      </c>
      <c r="C145" s="12" t="inlineStr">
        <is>
          <t>OP-001</t>
        </is>
      </c>
      <c r="D145" s="12" t="inlineStr">
        <is>
          <t>OBS-001</t>
        </is>
      </c>
      <c r="E145" s="10" t="inlineStr">
        <is>
          <t>Manual</t>
        </is>
      </c>
      <c r="F145" s="10" t="inlineStr">
        <is>
          <t>Pump</t>
        </is>
      </c>
      <c r="G145" s="10" t="inlineStr">
        <is>
          <t>CDWP_03</t>
        </is>
      </c>
      <c r="H145" s="10" t="n">
        <v>1</v>
      </c>
      <c r="I145" s="10" t="n">
        <v>5</v>
      </c>
      <c r="J145" s="10" t="inlineStr">
        <is>
          <t>Full-period refinement and validation</t>
        </is>
      </c>
      <c r="K145" s="17" t="n">
        <v>46190.55625</v>
      </c>
      <c r="L145" s="17" t="n">
        <v>46190.58402777778</v>
      </c>
      <c r="M145" s="12" t="n">
        <v>0</v>
      </c>
      <c r="N145" s="14">
        <f>IF(OR(K145="",L145=""),"",ROUND((L145-K145)*1440-N(M145),1))</f>
        <v/>
      </c>
      <c r="O145" s="17" t="n"/>
      <c r="P145" s="17" t="n"/>
      <c r="Q145" s="14">
        <f>IF(OR(O145="",P145=""),"",ROUND((P145-O145)*1440,1))</f>
        <v/>
      </c>
      <c r="R145" s="12" t="n"/>
      <c r="S145" s="12" t="inlineStr">
        <is>
          <t>Complete</t>
        </is>
      </c>
      <c r="T145" s="12" t="n"/>
      <c r="U145" s="12" t="n"/>
    </row>
    <row r="146">
      <c r="A146" s="10" t="inlineStr">
        <is>
          <t>OBS-142</t>
        </is>
      </c>
      <c r="B146" s="16" t="n">
        <v>46190</v>
      </c>
      <c r="C146" s="12" t="inlineStr">
        <is>
          <t>OP-001</t>
        </is>
      </c>
      <c r="D146" s="12" t="inlineStr">
        <is>
          <t>OBS-001</t>
        </is>
      </c>
      <c r="E146" s="10" t="inlineStr">
        <is>
          <t>Manual</t>
        </is>
      </c>
      <c r="F146" s="10" t="inlineStr">
        <is>
          <t>Pump</t>
        </is>
      </c>
      <c r="G146" s="10" t="inlineStr">
        <is>
          <t>CDWP_03</t>
        </is>
      </c>
      <c r="H146" s="10" t="n">
        <v>1</v>
      </c>
      <c r="I146" s="10" t="n">
        <v>6</v>
      </c>
      <c r="J146" s="10" t="inlineStr">
        <is>
          <t>Paper tables and figures</t>
        </is>
      </c>
      <c r="K146" s="17" t="n">
        <v>46190.58611111111</v>
      </c>
      <c r="L146" s="17" t="n">
        <v>46190.60138888889</v>
      </c>
      <c r="M146" s="12" t="n">
        <v>0</v>
      </c>
      <c r="N146" s="14">
        <f>IF(OR(K146="",L146=""),"",ROUND((L146-K146)*1440-N(M146),1))</f>
        <v/>
      </c>
      <c r="O146" s="17" t="n"/>
      <c r="P146" s="17" t="n"/>
      <c r="Q146" s="14">
        <f>IF(OR(O146="",P146=""),"",ROUND((P146-O146)*1440,1))</f>
        <v/>
      </c>
      <c r="R146" s="12" t="n"/>
      <c r="S146" s="12" t="inlineStr">
        <is>
          <t>Complete</t>
        </is>
      </c>
      <c r="T146" s="12" t="n"/>
      <c r="U146" s="12" t="n"/>
    </row>
    <row r="147">
      <c r="A147" s="10" t="inlineStr">
        <is>
          <t>OBS-143</t>
        </is>
      </c>
      <c r="B147" s="16" t="n">
        <v>46190</v>
      </c>
      <c r="C147" s="12" t="inlineStr">
        <is>
          <t>OP-001</t>
        </is>
      </c>
      <c r="D147" s="12" t="inlineStr">
        <is>
          <t>OBS-001</t>
        </is>
      </c>
      <c r="E147" s="10" t="inlineStr">
        <is>
          <t>Manual</t>
        </is>
      </c>
      <c r="F147" s="10" t="inlineStr">
        <is>
          <t>Pump</t>
        </is>
      </c>
      <c r="G147" s="10" t="inlineStr">
        <is>
          <t>CDWP_03</t>
        </is>
      </c>
      <c r="H147" s="10" t="n">
        <v>1</v>
      </c>
      <c r="I147" s="15" t="n">
        <v>7</v>
      </c>
      <c r="J147" s="15" t="inlineStr">
        <is>
          <t>Observability and evidence-grade review</t>
        </is>
      </c>
      <c r="K147" s="17" t="n">
        <v>46190.60347222222</v>
      </c>
      <c r="L147" s="17" t="n">
        <v>46190.63125</v>
      </c>
      <c r="M147" s="12" t="n">
        <v>0</v>
      </c>
      <c r="N147" s="14">
        <f>IF(OR(K147="",L147=""),"",ROUND((L147-K147)*1440-N(M147),1))</f>
        <v/>
      </c>
      <c r="O147" s="17" t="n"/>
      <c r="P147" s="17" t="n"/>
      <c r="Q147" s="14">
        <f>IF(OR(O147="",P147=""),"",ROUND((P147-O147)*1440,1))</f>
        <v/>
      </c>
      <c r="R147" s="12" t="n"/>
      <c r="S147" s="12" t="inlineStr">
        <is>
          <t>Complete</t>
        </is>
      </c>
      <c r="T147" s="12" t="n"/>
      <c r="U147" s="12" t="n"/>
    </row>
    <row r="148">
      <c r="A148" s="10" t="inlineStr">
        <is>
          <t>OBS-144</t>
        </is>
      </c>
      <c r="B148" s="16" t="n">
        <v>46190</v>
      </c>
      <c r="C148" s="12" t="inlineStr">
        <is>
          <t>OP-001</t>
        </is>
      </c>
      <c r="D148" s="12" t="inlineStr">
        <is>
          <t>OBS-001</t>
        </is>
      </c>
      <c r="E148" s="10" t="inlineStr">
        <is>
          <t>Manual</t>
        </is>
      </c>
      <c r="F148" s="10" t="inlineStr">
        <is>
          <t>Pump</t>
        </is>
      </c>
      <c r="G148" s="10" t="inlineStr">
        <is>
          <t>CDWP_03</t>
        </is>
      </c>
      <c r="H148" s="10" t="n">
        <v>1</v>
      </c>
      <c r="I148" s="15" t="n">
        <v>8</v>
      </c>
      <c r="J148" s="15" t="inlineStr">
        <is>
          <t>Temporal split definition and audit</t>
        </is>
      </c>
      <c r="K148" s="17" t="n">
        <v>46190.63333333333</v>
      </c>
      <c r="L148" s="17" t="n">
        <v>46190.65277777778</v>
      </c>
      <c r="M148" s="12" t="n">
        <v>0</v>
      </c>
      <c r="N148" s="14">
        <f>IF(OR(K148="",L148=""),"",ROUND((L148-K148)*1440-N(M148),1))</f>
        <v/>
      </c>
      <c r="O148" s="17" t="n"/>
      <c r="P148" s="17" t="n"/>
      <c r="Q148" s="14">
        <f>IF(OR(O148="",P148=""),"",ROUND((P148-O148)*1440,1))</f>
        <v/>
      </c>
      <c r="R148" s="12" t="n"/>
      <c r="S148" s="12" t="inlineStr">
        <is>
          <t>Complete</t>
        </is>
      </c>
      <c r="T148" s="12" t="n"/>
      <c r="U148" s="12" t="n"/>
    </row>
    <row r="149">
      <c r="A149" s="10" t="inlineStr">
        <is>
          <t>OBS-145</t>
        </is>
      </c>
      <c r="B149" s="16" t="n">
        <v>46190</v>
      </c>
      <c r="C149" s="12" t="inlineStr">
        <is>
          <t>OP-001</t>
        </is>
      </c>
      <c r="D149" s="12" t="inlineStr">
        <is>
          <t>OBS-001</t>
        </is>
      </c>
      <c r="E149" s="10" t="inlineStr">
        <is>
          <t>Manual</t>
        </is>
      </c>
      <c r="F149" s="10" t="inlineStr">
        <is>
          <t>Pump</t>
        </is>
      </c>
      <c r="G149" s="10" t="inlineStr">
        <is>
          <t>CHWP_01</t>
        </is>
      </c>
      <c r="H149" s="10" t="n">
        <v>2</v>
      </c>
      <c r="I149" s="10" t="n">
        <v>1</v>
      </c>
      <c r="J149" s="10" t="inlineStr">
        <is>
          <t>Data loading and semantic mapping</t>
        </is>
      </c>
      <c r="K149" s="17" t="n">
        <v>46190.66319444445</v>
      </c>
      <c r="L149" s="17" t="n">
        <v>46190.67708333334</v>
      </c>
      <c r="M149" s="12" t="n">
        <v>0</v>
      </c>
      <c r="N149" s="14">
        <f>IF(OR(K149="",L149=""),"",ROUND((L149-K149)*1440-N(M149),1))</f>
        <v/>
      </c>
      <c r="O149" s="17" t="n"/>
      <c r="P149" s="17" t="n"/>
      <c r="Q149" s="14">
        <f>IF(OR(O149="",P149=""),"",ROUND((P149-O149)*1440,1))</f>
        <v/>
      </c>
      <c r="R149" s="12" t="n"/>
      <c r="S149" s="12" t="inlineStr">
        <is>
          <t>Complete</t>
        </is>
      </c>
      <c r="T149" s="12" t="n"/>
      <c r="U149" s="12" t="n"/>
    </row>
    <row r="150">
      <c r="A150" s="10" t="inlineStr">
        <is>
          <t>OBS-146</t>
        </is>
      </c>
      <c r="B150" s="16" t="n">
        <v>46190</v>
      </c>
      <c r="C150" s="12" t="inlineStr">
        <is>
          <t>OP-001</t>
        </is>
      </c>
      <c r="D150" s="12" t="inlineStr">
        <is>
          <t>OBS-001</t>
        </is>
      </c>
      <c r="E150" s="10" t="inlineStr">
        <is>
          <t>Manual</t>
        </is>
      </c>
      <c r="F150" s="10" t="inlineStr">
        <is>
          <t>Pump</t>
        </is>
      </c>
      <c r="G150" s="10" t="inlineStr">
        <is>
          <t>CHWP_01</t>
        </is>
      </c>
      <c r="H150" s="10" t="n">
        <v>2</v>
      </c>
      <c r="I150" s="10" t="n">
        <v>2</v>
      </c>
      <c r="J150" s="10" t="inlineStr">
        <is>
          <t>Valid model input table preparation</t>
        </is>
      </c>
      <c r="K150" s="17" t="n">
        <v>46190.68125</v>
      </c>
      <c r="L150" s="17" t="n">
        <v>46190.69791666666</v>
      </c>
      <c r="M150" s="12" t="n">
        <v>0</v>
      </c>
      <c r="N150" s="14">
        <f>IF(OR(K150="",L150=""),"",ROUND((L150-K150)*1440-N(M150),1))</f>
        <v/>
      </c>
      <c r="O150" s="17" t="n"/>
      <c r="P150" s="17" t="n"/>
      <c r="Q150" s="14">
        <f>IF(OR(O150="",P150=""),"",ROUND((P150-O150)*1440,1))</f>
        <v/>
      </c>
      <c r="R150" s="12" t="n"/>
      <c r="S150" s="12" t="inlineStr">
        <is>
          <t>Complete</t>
        </is>
      </c>
      <c r="T150" s="12" t="n"/>
      <c r="U150" s="12" t="n"/>
    </row>
    <row r="151">
      <c r="A151" s="10" t="inlineStr">
        <is>
          <t>OBS-147</t>
        </is>
      </c>
      <c r="B151" s="16" t="n">
        <v>46190</v>
      </c>
      <c r="C151" s="12" t="inlineStr">
        <is>
          <t>OP-001</t>
        </is>
      </c>
      <c r="D151" s="12" t="inlineStr">
        <is>
          <t>OBS-001</t>
        </is>
      </c>
      <c r="E151" s="10" t="inlineStr">
        <is>
          <t>Manual</t>
        </is>
      </c>
      <c r="F151" s="10" t="inlineStr">
        <is>
          <t>Pump</t>
        </is>
      </c>
      <c r="G151" s="10" t="inlineStr">
        <is>
          <t>CHWP_01</t>
        </is>
      </c>
      <c r="H151" s="10" t="n">
        <v>2</v>
      </c>
      <c r="I151" s="10" t="n">
        <v>3</v>
      </c>
      <c r="J151" s="10" t="inlineStr">
        <is>
          <t>Modelica/FMU candidate setup</t>
        </is>
      </c>
      <c r="K151" s="17" t="n">
        <v>46190.70277777778</v>
      </c>
      <c r="L151" s="17" t="n">
        <v>46190.71944444445</v>
      </c>
      <c r="M151" s="12" t="n">
        <v>0</v>
      </c>
      <c r="N151" s="14">
        <f>IF(OR(K151="",L151=""),"",ROUND((L151-K151)*1440-N(M151),1))</f>
        <v/>
      </c>
      <c r="O151" s="17" t="n"/>
      <c r="P151" s="17" t="n"/>
      <c r="Q151" s="14">
        <f>IF(OR(O151="",P151=""),"",ROUND((P151-O151)*1440,1))</f>
        <v/>
      </c>
      <c r="R151" s="12" t="n"/>
      <c r="S151" s="12" t="inlineStr">
        <is>
          <t>Complete</t>
        </is>
      </c>
      <c r="T151" s="12" t="n"/>
      <c r="U151" s="12" t="n"/>
    </row>
    <row r="152">
      <c r="A152" s="10" t="inlineStr">
        <is>
          <t>OBS-148</t>
        </is>
      </c>
      <c r="B152" s="16" t="n">
        <v>46191</v>
      </c>
      <c r="C152" s="12" t="inlineStr">
        <is>
          <t>OP-001</t>
        </is>
      </c>
      <c r="D152" s="12" t="inlineStr">
        <is>
          <t>OBS-001</t>
        </is>
      </c>
      <c r="E152" s="10" t="inlineStr">
        <is>
          <t>Manual</t>
        </is>
      </c>
      <c r="F152" s="10" t="inlineStr">
        <is>
          <t>Pump</t>
        </is>
      </c>
      <c r="G152" s="10" t="inlineStr">
        <is>
          <t>CHWP_01</t>
        </is>
      </c>
      <c r="H152" s="10" t="n">
        <v>2</v>
      </c>
      <c r="I152" s="10" t="n">
        <v>4</v>
      </c>
      <c r="J152" s="10" t="inlineStr">
        <is>
          <t>FMU parameter search</t>
        </is>
      </c>
      <c r="K152" s="17" t="n">
        <v>46191.36666666667</v>
      </c>
      <c r="L152" s="17" t="n">
        <v>46191.39583333334</v>
      </c>
      <c r="M152" s="12" t="n">
        <v>0</v>
      </c>
      <c r="N152" s="14">
        <f>IF(OR(K152="",L152=""),"",ROUND((L152-K152)*1440-N(M152),1))</f>
        <v/>
      </c>
      <c r="O152" s="17" t="n"/>
      <c r="P152" s="17" t="n"/>
      <c r="Q152" s="14">
        <f>IF(OR(O152="",P152=""),"",ROUND((P152-O152)*1440,1))</f>
        <v/>
      </c>
      <c r="R152" s="12" t="n"/>
      <c r="S152" s="12" t="inlineStr">
        <is>
          <t>Complete</t>
        </is>
      </c>
      <c r="T152" s="12" t="n"/>
      <c r="U152" s="12" t="n"/>
    </row>
    <row r="153">
      <c r="A153" s="10" t="inlineStr">
        <is>
          <t>OBS-149</t>
        </is>
      </c>
      <c r="B153" s="16" t="n">
        <v>46191</v>
      </c>
      <c r="C153" s="12" t="inlineStr">
        <is>
          <t>OP-001</t>
        </is>
      </c>
      <c r="D153" s="12" t="inlineStr">
        <is>
          <t>OBS-001</t>
        </is>
      </c>
      <c r="E153" s="10" t="inlineStr">
        <is>
          <t>Manual</t>
        </is>
      </c>
      <c r="F153" s="10" t="inlineStr">
        <is>
          <t>Pump</t>
        </is>
      </c>
      <c r="G153" s="10" t="inlineStr">
        <is>
          <t>CHWP_01</t>
        </is>
      </c>
      <c r="H153" s="10" t="n">
        <v>2</v>
      </c>
      <c r="I153" s="10" t="n">
        <v>5</v>
      </c>
      <c r="J153" s="10" t="inlineStr">
        <is>
          <t>Full-period refinement and validation</t>
        </is>
      </c>
      <c r="K153" s="17" t="n">
        <v>46191.40277777778</v>
      </c>
      <c r="L153" s="17" t="n">
        <v>46191.425</v>
      </c>
      <c r="M153" s="12" t="n">
        <v>0</v>
      </c>
      <c r="N153" s="14">
        <f>IF(OR(K153="",L153=""),"",ROUND((L153-K153)*1440-N(M153),1))</f>
        <v/>
      </c>
      <c r="O153" s="17" t="n"/>
      <c r="P153" s="17" t="n"/>
      <c r="Q153" s="14">
        <f>IF(OR(O153="",P153=""),"",ROUND((P153-O153)*1440,1))</f>
        <v/>
      </c>
      <c r="R153" s="12" t="n"/>
      <c r="S153" s="12" t="inlineStr">
        <is>
          <t>Complete</t>
        </is>
      </c>
      <c r="T153" s="12" t="n"/>
      <c r="U153" s="12" t="n"/>
    </row>
    <row r="154">
      <c r="A154" s="10" t="inlineStr">
        <is>
          <t>OBS-150</t>
        </is>
      </c>
      <c r="B154" s="16" t="n">
        <v>46191</v>
      </c>
      <c r="C154" s="12" t="inlineStr">
        <is>
          <t>OP-001</t>
        </is>
      </c>
      <c r="D154" s="12" t="inlineStr">
        <is>
          <t>OBS-001</t>
        </is>
      </c>
      <c r="E154" s="10" t="inlineStr">
        <is>
          <t>Manual</t>
        </is>
      </c>
      <c r="F154" s="10" t="inlineStr">
        <is>
          <t>Pump</t>
        </is>
      </c>
      <c r="G154" s="10" t="inlineStr">
        <is>
          <t>CHWP_01</t>
        </is>
      </c>
      <c r="H154" s="10" t="n">
        <v>2</v>
      </c>
      <c r="I154" s="10" t="n">
        <v>6</v>
      </c>
      <c r="J154" s="10" t="inlineStr">
        <is>
          <t>Paper tables and figures</t>
        </is>
      </c>
      <c r="K154" s="17" t="n">
        <v>46191.43125</v>
      </c>
      <c r="L154" s="17" t="n">
        <v>46191.44375</v>
      </c>
      <c r="M154" s="12" t="n">
        <v>0</v>
      </c>
      <c r="N154" s="14">
        <f>IF(OR(K154="",L154=""),"",ROUND((L154-K154)*1440-N(M154),1))</f>
        <v/>
      </c>
      <c r="O154" s="17" t="n"/>
      <c r="P154" s="17" t="n"/>
      <c r="Q154" s="14">
        <f>IF(OR(O154="",P154=""),"",ROUND((P154-O154)*1440,1))</f>
        <v/>
      </c>
      <c r="R154" s="12" t="n"/>
      <c r="S154" s="12" t="inlineStr">
        <is>
          <t>Complete</t>
        </is>
      </c>
      <c r="T154" s="12" t="n"/>
      <c r="U154" s="12" t="n"/>
    </row>
    <row r="155">
      <c r="A155" s="10" t="inlineStr">
        <is>
          <t>OBS-151</t>
        </is>
      </c>
      <c r="B155" s="16" t="n">
        <v>46191</v>
      </c>
      <c r="C155" s="12" t="inlineStr">
        <is>
          <t>OP-001</t>
        </is>
      </c>
      <c r="D155" s="12" t="inlineStr">
        <is>
          <t>OBS-001</t>
        </is>
      </c>
      <c r="E155" s="10" t="inlineStr">
        <is>
          <t>Manual</t>
        </is>
      </c>
      <c r="F155" s="10" t="inlineStr">
        <is>
          <t>Pump</t>
        </is>
      </c>
      <c r="G155" s="10" t="inlineStr">
        <is>
          <t>CHWP_01</t>
        </is>
      </c>
      <c r="H155" s="10" t="n">
        <v>2</v>
      </c>
      <c r="I155" s="15" t="n">
        <v>7</v>
      </c>
      <c r="J155" s="15" t="inlineStr">
        <is>
          <t>Observability and evidence-grade review</t>
        </is>
      </c>
      <c r="K155" s="17" t="n">
        <v>46191.44791666666</v>
      </c>
      <c r="L155" s="17" t="n">
        <v>46191.46875</v>
      </c>
      <c r="M155" s="12" t="n">
        <v>0</v>
      </c>
      <c r="N155" s="14">
        <f>IF(OR(K155="",L155=""),"",ROUND((L155-K155)*1440-N(M155),1))</f>
        <v/>
      </c>
      <c r="O155" s="17" t="n"/>
      <c r="P155" s="17" t="n"/>
      <c r="Q155" s="14">
        <f>IF(OR(O155="",P155=""),"",ROUND((P155-O155)*1440,1))</f>
        <v/>
      </c>
      <c r="R155" s="12" t="n"/>
      <c r="S155" s="12" t="inlineStr">
        <is>
          <t>Complete</t>
        </is>
      </c>
      <c r="T155" s="12" t="n"/>
      <c r="U155" s="12" t="n"/>
    </row>
    <row r="156">
      <c r="A156" s="10" t="inlineStr">
        <is>
          <t>OBS-152</t>
        </is>
      </c>
      <c r="B156" s="16" t="n">
        <v>46191</v>
      </c>
      <c r="C156" s="12" t="inlineStr">
        <is>
          <t>OP-001</t>
        </is>
      </c>
      <c r="D156" s="12" t="inlineStr">
        <is>
          <t>OBS-001</t>
        </is>
      </c>
      <c r="E156" s="10" t="inlineStr">
        <is>
          <t>Manual</t>
        </is>
      </c>
      <c r="F156" s="10" t="inlineStr">
        <is>
          <t>Pump</t>
        </is>
      </c>
      <c r="G156" s="10" t="inlineStr">
        <is>
          <t>CHWP_01</t>
        </is>
      </c>
      <c r="H156" s="10" t="n">
        <v>2</v>
      </c>
      <c r="I156" s="15" t="n">
        <v>8</v>
      </c>
      <c r="J156" s="15" t="inlineStr">
        <is>
          <t>Temporal split definition and audit</t>
        </is>
      </c>
      <c r="K156" s="17" t="n">
        <v>46191.47083333333</v>
      </c>
      <c r="L156" s="17" t="n">
        <v>46191.48611111111</v>
      </c>
      <c r="M156" s="12" t="n">
        <v>0</v>
      </c>
      <c r="N156" s="14">
        <f>IF(OR(K156="",L156=""),"",ROUND((L156-K156)*1440-N(M156),1))</f>
        <v/>
      </c>
      <c r="O156" s="17" t="n"/>
      <c r="P156" s="17" t="n"/>
      <c r="Q156" s="14">
        <f>IF(OR(O156="",P156=""),"",ROUND((P156-O156)*1440,1))</f>
        <v/>
      </c>
      <c r="R156" s="12" t="n"/>
      <c r="S156" s="12" t="inlineStr">
        <is>
          <t>Complete</t>
        </is>
      </c>
      <c r="T156" s="12" t="n"/>
      <c r="U156" s="12" t="n"/>
    </row>
    <row r="157">
      <c r="A157" s="10" t="inlineStr">
        <is>
          <t>OBS-153</t>
        </is>
      </c>
      <c r="B157" s="16" t="n">
        <v>46191</v>
      </c>
      <c r="C157" s="12" t="inlineStr">
        <is>
          <t>OP-001</t>
        </is>
      </c>
      <c r="D157" s="12" t="inlineStr">
        <is>
          <t>OBS-001</t>
        </is>
      </c>
      <c r="E157" s="10" t="inlineStr">
        <is>
          <t>Manual</t>
        </is>
      </c>
      <c r="F157" s="10" t="inlineStr">
        <is>
          <t>Pump</t>
        </is>
      </c>
      <c r="G157" s="10" t="inlineStr">
        <is>
          <t>CDWP_02</t>
        </is>
      </c>
      <c r="H157" s="10" t="n">
        <v>3</v>
      </c>
      <c r="I157" s="10" t="n">
        <v>1</v>
      </c>
      <c r="J157" s="10" t="inlineStr">
        <is>
          <t>Data loading and semantic mapping</t>
        </is>
      </c>
      <c r="K157" s="17" t="n">
        <v>46191.5625</v>
      </c>
      <c r="L157" s="17" t="n">
        <v>46191.57777777778</v>
      </c>
      <c r="M157" s="12" t="n">
        <v>0</v>
      </c>
      <c r="N157" s="14">
        <f>IF(OR(K157="",L157=""),"",ROUND((L157-K157)*1440-N(M157),1))</f>
        <v/>
      </c>
      <c r="O157" s="17" t="n"/>
      <c r="P157" s="17" t="n"/>
      <c r="Q157" s="14">
        <f>IF(OR(O157="",P157=""),"",ROUND((P157-O157)*1440,1))</f>
        <v/>
      </c>
      <c r="R157" s="12" t="n"/>
      <c r="S157" s="12" t="inlineStr">
        <is>
          <t>Complete</t>
        </is>
      </c>
      <c r="T157" s="12" t="n"/>
      <c r="U157" s="12" t="n"/>
    </row>
    <row r="158">
      <c r="A158" s="10" t="inlineStr">
        <is>
          <t>OBS-154</t>
        </is>
      </c>
      <c r="B158" s="16" t="n">
        <v>46191</v>
      </c>
      <c r="C158" s="12" t="inlineStr">
        <is>
          <t>OP-001</t>
        </is>
      </c>
      <c r="D158" s="12" t="inlineStr">
        <is>
          <t>OBS-001</t>
        </is>
      </c>
      <c r="E158" s="10" t="inlineStr">
        <is>
          <t>Manual</t>
        </is>
      </c>
      <c r="F158" s="10" t="inlineStr">
        <is>
          <t>Pump</t>
        </is>
      </c>
      <c r="G158" s="10" t="inlineStr">
        <is>
          <t>CDWP_02</t>
        </is>
      </c>
      <c r="H158" s="10" t="n">
        <v>3</v>
      </c>
      <c r="I158" s="10" t="n">
        <v>2</v>
      </c>
      <c r="J158" s="10" t="inlineStr">
        <is>
          <t>Valid model input table preparation</t>
        </is>
      </c>
      <c r="K158" s="17" t="n">
        <v>46191.58125</v>
      </c>
      <c r="L158" s="17" t="n">
        <v>46191.59861111111</v>
      </c>
      <c r="M158" s="12" t="n">
        <v>0</v>
      </c>
      <c r="N158" s="14">
        <f>IF(OR(K158="",L158=""),"",ROUND((L158-K158)*1440-N(M158),1))</f>
        <v/>
      </c>
      <c r="O158" s="17" t="n"/>
      <c r="P158" s="17" t="n"/>
      <c r="Q158" s="14">
        <f>IF(OR(O158="",P158=""),"",ROUND((P158-O158)*1440,1))</f>
        <v/>
      </c>
      <c r="R158" s="12" t="n"/>
      <c r="S158" s="12" t="inlineStr">
        <is>
          <t>Complete</t>
        </is>
      </c>
      <c r="T158" s="12" t="n"/>
      <c r="U158" s="12" t="n"/>
    </row>
    <row r="159">
      <c r="A159" s="10" t="inlineStr">
        <is>
          <t>OBS-155</t>
        </is>
      </c>
      <c r="B159" s="16" t="n"/>
      <c r="C159" s="12" t="n"/>
      <c r="D159" s="12" t="n"/>
      <c r="E159" s="10" t="inlineStr">
        <is>
          <t>Manual</t>
        </is>
      </c>
      <c r="F159" s="10" t="inlineStr">
        <is>
          <t>Pump</t>
        </is>
      </c>
      <c r="G159" s="10" t="inlineStr">
        <is>
          <t>CDWP_02</t>
        </is>
      </c>
      <c r="H159" s="10" t="n">
        <v>3</v>
      </c>
      <c r="I159" s="10" t="n">
        <v>3</v>
      </c>
      <c r="J159" s="10" t="inlineStr">
        <is>
          <t>Modelica/FMU candidate setup</t>
        </is>
      </c>
      <c r="K159" s="17" t="n"/>
      <c r="L159" s="17" t="n"/>
      <c r="M159" s="12" t="n">
        <v>0</v>
      </c>
      <c r="N159" s="14">
        <f>IF(OR(K159="",L159=""),"",ROUND((L159-K159)*1440-N(M159),1))</f>
        <v/>
      </c>
      <c r="O159" s="17" t="n"/>
      <c r="P159" s="17" t="n"/>
      <c r="Q159" s="14">
        <f>IF(OR(O159="",P159=""),"",ROUND((P159-O159)*1440,1))</f>
        <v/>
      </c>
      <c r="R159" s="12" t="n"/>
      <c r="S159" s="12" t="inlineStr">
        <is>
          <t>Not started</t>
        </is>
      </c>
      <c r="T159" s="12" t="n"/>
      <c r="U159" s="12" t="n"/>
    </row>
    <row r="160">
      <c r="A160" s="10" t="inlineStr">
        <is>
          <t>OBS-156</t>
        </is>
      </c>
      <c r="B160" s="16" t="n"/>
      <c r="C160" s="12" t="n"/>
      <c r="D160" s="12" t="n"/>
      <c r="E160" s="10" t="inlineStr">
        <is>
          <t>Manual</t>
        </is>
      </c>
      <c r="F160" s="10" t="inlineStr">
        <is>
          <t>Pump</t>
        </is>
      </c>
      <c r="G160" s="10" t="inlineStr">
        <is>
          <t>CDWP_02</t>
        </is>
      </c>
      <c r="H160" s="10" t="n">
        <v>3</v>
      </c>
      <c r="I160" s="10" t="n">
        <v>4</v>
      </c>
      <c r="J160" s="10" t="inlineStr">
        <is>
          <t>FMU parameter search</t>
        </is>
      </c>
      <c r="K160" s="17" t="n"/>
      <c r="L160" s="17" t="n"/>
      <c r="M160" s="12" t="n">
        <v>0</v>
      </c>
      <c r="N160" s="14">
        <f>IF(OR(K160="",L160=""),"",ROUND((L160-K160)*1440-N(M160),1))</f>
        <v/>
      </c>
      <c r="O160" s="17" t="n"/>
      <c r="P160" s="17" t="n"/>
      <c r="Q160" s="14">
        <f>IF(OR(O160="",P160=""),"",ROUND((P160-O160)*1440,1))</f>
        <v/>
      </c>
      <c r="R160" s="12" t="n"/>
      <c r="S160" s="12" t="inlineStr">
        <is>
          <t>Not started</t>
        </is>
      </c>
      <c r="T160" s="12" t="n"/>
      <c r="U160" s="12" t="n"/>
    </row>
    <row r="161">
      <c r="A161" s="10" t="inlineStr">
        <is>
          <t>OBS-157</t>
        </is>
      </c>
      <c r="B161" s="16" t="n"/>
      <c r="C161" s="12" t="n"/>
      <c r="D161" s="12" t="n"/>
      <c r="E161" s="10" t="inlineStr">
        <is>
          <t>Manual</t>
        </is>
      </c>
      <c r="F161" s="10" t="inlineStr">
        <is>
          <t>Pump</t>
        </is>
      </c>
      <c r="G161" s="10" t="inlineStr">
        <is>
          <t>CDWP_02</t>
        </is>
      </c>
      <c r="H161" s="10" t="n">
        <v>3</v>
      </c>
      <c r="I161" s="10" t="n">
        <v>5</v>
      </c>
      <c r="J161" s="10" t="inlineStr">
        <is>
          <t>Full-period refinement and validation</t>
        </is>
      </c>
      <c r="K161" s="17" t="n"/>
      <c r="L161" s="17" t="n"/>
      <c r="M161" s="12" t="n">
        <v>0</v>
      </c>
      <c r="N161" s="14">
        <f>IF(OR(K161="",L161=""),"",ROUND((L161-K161)*1440-N(M161),1))</f>
        <v/>
      </c>
      <c r="O161" s="17" t="n"/>
      <c r="P161" s="17" t="n"/>
      <c r="Q161" s="14">
        <f>IF(OR(O161="",P161=""),"",ROUND((P161-O161)*1440,1))</f>
        <v/>
      </c>
      <c r="R161" s="12" t="n"/>
      <c r="S161" s="12" t="inlineStr">
        <is>
          <t>Not started</t>
        </is>
      </c>
      <c r="T161" s="12" t="n"/>
      <c r="U161" s="12" t="n"/>
    </row>
    <row r="162">
      <c r="A162" s="10" t="inlineStr">
        <is>
          <t>OBS-158</t>
        </is>
      </c>
      <c r="B162" s="16" t="n"/>
      <c r="C162" s="12" t="n"/>
      <c r="D162" s="12" t="n"/>
      <c r="E162" s="10" t="inlineStr">
        <is>
          <t>Manual</t>
        </is>
      </c>
      <c r="F162" s="10" t="inlineStr">
        <is>
          <t>Pump</t>
        </is>
      </c>
      <c r="G162" s="10" t="inlineStr">
        <is>
          <t>CDWP_02</t>
        </is>
      </c>
      <c r="H162" s="10" t="n">
        <v>3</v>
      </c>
      <c r="I162" s="10" t="n">
        <v>6</v>
      </c>
      <c r="J162" s="10" t="inlineStr">
        <is>
          <t>Paper tables and figures</t>
        </is>
      </c>
      <c r="K162" s="17" t="n"/>
      <c r="L162" s="17" t="n"/>
      <c r="M162" s="12" t="n">
        <v>0</v>
      </c>
      <c r="N162" s="14">
        <f>IF(OR(K162="",L162=""),"",ROUND((L162-K162)*1440-N(M162),1))</f>
        <v/>
      </c>
      <c r="O162" s="17" t="n"/>
      <c r="P162" s="17" t="n"/>
      <c r="Q162" s="14">
        <f>IF(OR(O162="",P162=""),"",ROUND((P162-O162)*1440,1))</f>
        <v/>
      </c>
      <c r="R162" s="12" t="n"/>
      <c r="S162" s="12" t="inlineStr">
        <is>
          <t>Not started</t>
        </is>
      </c>
      <c r="T162" s="12" t="n"/>
      <c r="U162" s="12" t="n"/>
    </row>
    <row r="163">
      <c r="A163" s="10" t="inlineStr">
        <is>
          <t>OBS-159</t>
        </is>
      </c>
      <c r="B163" s="16" t="n">
        <v>46191</v>
      </c>
      <c r="C163" s="12" t="inlineStr">
        <is>
          <t>OP-001</t>
        </is>
      </c>
      <c r="D163" s="12" t="inlineStr">
        <is>
          <t>OBS-001</t>
        </is>
      </c>
      <c r="E163" s="10" t="inlineStr">
        <is>
          <t>Manual</t>
        </is>
      </c>
      <c r="F163" s="10" t="inlineStr">
        <is>
          <t>Pump</t>
        </is>
      </c>
      <c r="G163" s="10" t="inlineStr">
        <is>
          <t>CDWP_02</t>
        </is>
      </c>
      <c r="H163" s="10" t="n">
        <v>3</v>
      </c>
      <c r="I163" s="15" t="n">
        <v>7</v>
      </c>
      <c r="J163" s="15" t="inlineStr">
        <is>
          <t>Observability and evidence-grade review</t>
        </is>
      </c>
      <c r="K163" s="17" t="n">
        <v>46191.60555555556</v>
      </c>
      <c r="L163" s="17" t="n">
        <v>46191.62986111111</v>
      </c>
      <c r="M163" s="12" t="n">
        <v>0</v>
      </c>
      <c r="N163" s="14">
        <f>IF(OR(K163="",L163=""),"",ROUND((L163-K163)*1440-N(M163),1))</f>
        <v/>
      </c>
      <c r="O163" s="17" t="n"/>
      <c r="P163" s="17" t="n"/>
      <c r="Q163" s="14">
        <f>IF(OR(O163="",P163=""),"",ROUND((P163-O163)*1440,1))</f>
        <v/>
      </c>
      <c r="R163" s="12" t="n"/>
      <c r="S163" s="12" t="inlineStr">
        <is>
          <t>Complete</t>
        </is>
      </c>
      <c r="T163" s="12" t="n"/>
      <c r="U163" s="12" t="n"/>
    </row>
    <row r="164">
      <c r="A164" s="10" t="inlineStr">
        <is>
          <t>OBS-160</t>
        </is>
      </c>
      <c r="B164" s="16" t="n">
        <v>46191</v>
      </c>
      <c r="C164" s="12" t="inlineStr">
        <is>
          <t>OP-001</t>
        </is>
      </c>
      <c r="D164" s="12" t="inlineStr">
        <is>
          <t>OBS-001</t>
        </is>
      </c>
      <c r="E164" s="10" t="inlineStr">
        <is>
          <t>Manual</t>
        </is>
      </c>
      <c r="F164" s="10" t="inlineStr">
        <is>
          <t>Pump</t>
        </is>
      </c>
      <c r="G164" s="10" t="inlineStr">
        <is>
          <t>CDWP_02</t>
        </is>
      </c>
      <c r="H164" s="10" t="n">
        <v>3</v>
      </c>
      <c r="I164" s="15" t="n">
        <v>8</v>
      </c>
      <c r="J164" s="15" t="inlineStr">
        <is>
          <t>Temporal split definition and audit</t>
        </is>
      </c>
      <c r="K164" s="17" t="n">
        <v>46191.63680555556</v>
      </c>
      <c r="L164" s="17" t="n">
        <v>46191.65277777778</v>
      </c>
      <c r="M164" s="12" t="n">
        <v>0</v>
      </c>
      <c r="N164" s="14">
        <f>IF(OR(K164="",L164=""),"",ROUND((L164-K164)*1440-N(M164),1))</f>
        <v/>
      </c>
      <c r="O164" s="17" t="n"/>
      <c r="P164" s="17" t="n"/>
      <c r="Q164" s="14">
        <f>IF(OR(O164="",P164=""),"",ROUND((P164-O164)*1440,1))</f>
        <v/>
      </c>
      <c r="R164" s="12" t="n"/>
      <c r="S164" s="12" t="inlineStr">
        <is>
          <t>Blocked</t>
        </is>
      </c>
      <c r="T164" s="12" t="n"/>
      <c r="U164" s="12" t="n"/>
    </row>
    <row r="165">
      <c r="A165" s="10" t="inlineStr">
        <is>
          <t>OBS-161</t>
        </is>
      </c>
      <c r="B165" s="16" t="n"/>
      <c r="C165" s="12" t="n"/>
      <c r="D165" s="12" t="n"/>
      <c r="E165" s="10" t="inlineStr">
        <is>
          <t>Auto</t>
        </is>
      </c>
      <c r="F165" s="10" t="inlineStr">
        <is>
          <t>Pump</t>
        </is>
      </c>
      <c r="G165" s="10" t="inlineStr">
        <is>
          <t>FAMILY_SETUP</t>
        </is>
      </c>
      <c r="H165" s="10" t="n">
        <v>0</v>
      </c>
      <c r="I165" s="10" t="n">
        <v>1</v>
      </c>
      <c r="J165" s="10" t="inlineStr">
        <is>
          <t>Data loading and semantic mapping</t>
        </is>
      </c>
      <c r="K165" s="17" t="n"/>
      <c r="L165" s="17" t="n"/>
      <c r="M165" s="12" t="n">
        <v>0</v>
      </c>
      <c r="N165" s="14">
        <f>IF(OR(K165="",L165=""),"",ROUND((L165-K165)*1440-N(M165),1))</f>
        <v/>
      </c>
      <c r="O165" s="17" t="n"/>
      <c r="P165" s="17" t="n"/>
      <c r="Q165" s="14">
        <f>IF(OR(O165="",P165=""),"",ROUND((P165-O165)*1440,1))</f>
        <v/>
      </c>
      <c r="R165" s="12" t="n"/>
      <c r="S165" s="12" t="inlineStr">
        <is>
          <t>Not started</t>
        </is>
      </c>
      <c r="T165" s="12" t="n"/>
      <c r="U165" s="12" t="n"/>
    </row>
    <row r="166">
      <c r="A166" s="10" t="inlineStr">
        <is>
          <t>OBS-162</t>
        </is>
      </c>
      <c r="B166" s="16" t="n"/>
      <c r="C166" s="12" t="n"/>
      <c r="D166" s="12" t="n"/>
      <c r="E166" s="10" t="inlineStr">
        <is>
          <t>Auto</t>
        </is>
      </c>
      <c r="F166" s="10" t="inlineStr">
        <is>
          <t>Pump</t>
        </is>
      </c>
      <c r="G166" s="10" t="inlineStr">
        <is>
          <t>FAMILY_SETUP</t>
        </is>
      </c>
      <c r="H166" s="10" t="n">
        <v>0</v>
      </c>
      <c r="I166" s="10" t="n">
        <v>2</v>
      </c>
      <c r="J166" s="10" t="inlineStr">
        <is>
          <t>Valid model input table preparation</t>
        </is>
      </c>
      <c r="K166" s="17" t="n"/>
      <c r="L166" s="17" t="n"/>
      <c r="M166" s="12" t="n">
        <v>0</v>
      </c>
      <c r="N166" s="14">
        <f>IF(OR(K166="",L166=""),"",ROUND((L166-K166)*1440-N(M166),1))</f>
        <v/>
      </c>
      <c r="O166" s="17" t="n"/>
      <c r="P166" s="17" t="n"/>
      <c r="Q166" s="14">
        <f>IF(OR(O166="",P166=""),"",ROUND((P166-O166)*1440,1))</f>
        <v/>
      </c>
      <c r="R166" s="12" t="n"/>
      <c r="S166" s="12" t="inlineStr">
        <is>
          <t>Not started</t>
        </is>
      </c>
      <c r="T166" s="12" t="n"/>
      <c r="U166" s="12" t="n"/>
    </row>
    <row r="167">
      <c r="A167" s="10" t="inlineStr">
        <is>
          <t>OBS-163</t>
        </is>
      </c>
      <c r="B167" s="16" t="n"/>
      <c r="C167" s="12" t="n"/>
      <c r="D167" s="12" t="n"/>
      <c r="E167" s="10" t="inlineStr">
        <is>
          <t>Auto</t>
        </is>
      </c>
      <c r="F167" s="10" t="inlineStr">
        <is>
          <t>Pump</t>
        </is>
      </c>
      <c r="G167" s="10" t="inlineStr">
        <is>
          <t>FAMILY_SETUP</t>
        </is>
      </c>
      <c r="H167" s="10" t="n">
        <v>0</v>
      </c>
      <c r="I167" s="10" t="n">
        <v>3</v>
      </c>
      <c r="J167" s="10" t="inlineStr">
        <is>
          <t>Modelica/FMU candidate setup</t>
        </is>
      </c>
      <c r="K167" s="17" t="n"/>
      <c r="L167" s="17" t="n"/>
      <c r="M167" s="12" t="n">
        <v>0</v>
      </c>
      <c r="N167" s="14">
        <f>IF(OR(K167="",L167=""),"",ROUND((L167-K167)*1440-N(M167),1))</f>
        <v/>
      </c>
      <c r="O167" s="17" t="n"/>
      <c r="P167" s="17" t="n"/>
      <c r="Q167" s="14">
        <f>IF(OR(O167="",P167=""),"",ROUND((P167-O167)*1440,1))</f>
        <v/>
      </c>
      <c r="R167" s="12" t="n"/>
      <c r="S167" s="12" t="inlineStr">
        <is>
          <t>Not started</t>
        </is>
      </c>
      <c r="T167" s="12" t="n"/>
      <c r="U167" s="12" t="n"/>
    </row>
    <row r="168">
      <c r="A168" s="10" t="inlineStr">
        <is>
          <t>OBS-164</t>
        </is>
      </c>
      <c r="B168" s="16" t="n"/>
      <c r="C168" s="12" t="n"/>
      <c r="D168" s="12" t="n"/>
      <c r="E168" s="10" t="inlineStr">
        <is>
          <t>Auto</t>
        </is>
      </c>
      <c r="F168" s="10" t="inlineStr">
        <is>
          <t>Pump</t>
        </is>
      </c>
      <c r="G168" s="10" t="inlineStr">
        <is>
          <t>FAMILY_SETUP</t>
        </is>
      </c>
      <c r="H168" s="10" t="n">
        <v>0</v>
      </c>
      <c r="I168" s="10" t="n">
        <v>4</v>
      </c>
      <c r="J168" s="10" t="inlineStr">
        <is>
          <t>FMU parameter search</t>
        </is>
      </c>
      <c r="K168" s="17" t="n"/>
      <c r="L168" s="17" t="n"/>
      <c r="M168" s="12" t="n">
        <v>0</v>
      </c>
      <c r="N168" s="14">
        <f>IF(OR(K168="",L168=""),"",ROUND((L168-K168)*1440-N(M168),1))</f>
        <v/>
      </c>
      <c r="O168" s="17" t="n"/>
      <c r="P168" s="17" t="n"/>
      <c r="Q168" s="14">
        <f>IF(OR(O168="",P168=""),"",ROUND((P168-O168)*1440,1))</f>
        <v/>
      </c>
      <c r="R168" s="12" t="n"/>
      <c r="S168" s="12" t="inlineStr">
        <is>
          <t>Not started</t>
        </is>
      </c>
      <c r="T168" s="12" t="n"/>
      <c r="U168" s="12" t="n"/>
    </row>
    <row r="169">
      <c r="A169" s="10" t="inlineStr">
        <is>
          <t>OBS-165</t>
        </is>
      </c>
      <c r="B169" s="16" t="n"/>
      <c r="C169" s="12" t="n"/>
      <c r="D169" s="12" t="n"/>
      <c r="E169" s="10" t="inlineStr">
        <is>
          <t>Auto</t>
        </is>
      </c>
      <c r="F169" s="10" t="inlineStr">
        <is>
          <t>Pump</t>
        </is>
      </c>
      <c r="G169" s="10" t="inlineStr">
        <is>
          <t>FAMILY_SETUP</t>
        </is>
      </c>
      <c r="H169" s="10" t="n">
        <v>0</v>
      </c>
      <c r="I169" s="10" t="n">
        <v>5</v>
      </c>
      <c r="J169" s="10" t="inlineStr">
        <is>
          <t>Full-period refinement and validation</t>
        </is>
      </c>
      <c r="K169" s="17" t="n"/>
      <c r="L169" s="17" t="n"/>
      <c r="M169" s="12" t="n">
        <v>0</v>
      </c>
      <c r="N169" s="14">
        <f>IF(OR(K169="",L169=""),"",ROUND((L169-K169)*1440-N(M169),1))</f>
        <v/>
      </c>
      <c r="O169" s="17" t="n"/>
      <c r="P169" s="17" t="n"/>
      <c r="Q169" s="14">
        <f>IF(OR(O169="",P169=""),"",ROUND((P169-O169)*1440,1))</f>
        <v/>
      </c>
      <c r="R169" s="12" t="n"/>
      <c r="S169" s="12" t="inlineStr">
        <is>
          <t>Not started</t>
        </is>
      </c>
      <c r="T169" s="12" t="n"/>
      <c r="U169" s="12" t="n"/>
    </row>
    <row r="170">
      <c r="A170" s="10" t="inlineStr">
        <is>
          <t>OBS-166</t>
        </is>
      </c>
      <c r="B170" s="16" t="n"/>
      <c r="C170" s="12" t="n"/>
      <c r="D170" s="12" t="n"/>
      <c r="E170" s="10" t="inlineStr">
        <is>
          <t>Auto</t>
        </is>
      </c>
      <c r="F170" s="10" t="inlineStr">
        <is>
          <t>Pump</t>
        </is>
      </c>
      <c r="G170" s="10" t="inlineStr">
        <is>
          <t>FAMILY_SETUP</t>
        </is>
      </c>
      <c r="H170" s="10" t="n">
        <v>0</v>
      </c>
      <c r="I170" s="10" t="n">
        <v>6</v>
      </c>
      <c r="J170" s="10" t="inlineStr">
        <is>
          <t>Paper tables and figures</t>
        </is>
      </c>
      <c r="K170" s="17" t="n"/>
      <c r="L170" s="17" t="n"/>
      <c r="M170" s="12" t="n">
        <v>0</v>
      </c>
      <c r="N170" s="14">
        <f>IF(OR(K170="",L170=""),"",ROUND((L170-K170)*1440-N(M170),1))</f>
        <v/>
      </c>
      <c r="O170" s="17" t="n"/>
      <c r="P170" s="17" t="n"/>
      <c r="Q170" s="14">
        <f>IF(OR(O170="",P170=""),"",ROUND((P170-O170)*1440,1))</f>
        <v/>
      </c>
      <c r="R170" s="12" t="n"/>
      <c r="S170" s="12" t="inlineStr">
        <is>
          <t>Not started</t>
        </is>
      </c>
      <c r="T170" s="12" t="n"/>
      <c r="U170" s="12" t="n"/>
    </row>
    <row r="171">
      <c r="A171" s="10" t="inlineStr">
        <is>
          <t>OBS-167</t>
        </is>
      </c>
      <c r="B171" s="16" t="n"/>
      <c r="C171" s="12" t="n"/>
      <c r="D171" s="12" t="n"/>
      <c r="E171" s="10" t="inlineStr">
        <is>
          <t>Auto</t>
        </is>
      </c>
      <c r="F171" s="10" t="inlineStr">
        <is>
          <t>Pump</t>
        </is>
      </c>
      <c r="G171" s="10" t="inlineStr">
        <is>
          <t>FAMILY_SETUP</t>
        </is>
      </c>
      <c r="H171" s="10" t="n">
        <v>0</v>
      </c>
      <c r="I171" s="15" t="n">
        <v>7</v>
      </c>
      <c r="J171" s="15" t="inlineStr">
        <is>
          <t>Observability and evidence-grade review</t>
        </is>
      </c>
      <c r="K171" s="17" t="n"/>
      <c r="L171" s="17" t="n"/>
      <c r="M171" s="12" t="n">
        <v>0</v>
      </c>
      <c r="N171" s="14">
        <f>IF(OR(K171="",L171=""),"",ROUND((L171-K171)*1440-N(M171),1))</f>
        <v/>
      </c>
      <c r="O171" s="17" t="n"/>
      <c r="P171" s="17" t="n"/>
      <c r="Q171" s="14">
        <f>IF(OR(O171="",P171=""),"",ROUND((P171-O171)*1440,1))</f>
        <v/>
      </c>
      <c r="R171" s="12" t="n"/>
      <c r="S171" s="12" t="inlineStr">
        <is>
          <t>Not started</t>
        </is>
      </c>
      <c r="T171" s="12" t="n"/>
      <c r="U171" s="12" t="n"/>
    </row>
    <row r="172">
      <c r="A172" s="10" t="inlineStr">
        <is>
          <t>OBS-168</t>
        </is>
      </c>
      <c r="B172" s="16" t="n"/>
      <c r="C172" s="12" t="n"/>
      <c r="D172" s="12" t="n"/>
      <c r="E172" s="10" t="inlineStr">
        <is>
          <t>Auto</t>
        </is>
      </c>
      <c r="F172" s="10" t="inlineStr">
        <is>
          <t>Pump</t>
        </is>
      </c>
      <c r="G172" s="10" t="inlineStr">
        <is>
          <t>FAMILY_SETUP</t>
        </is>
      </c>
      <c r="H172" s="10" t="n">
        <v>0</v>
      </c>
      <c r="I172" s="15" t="n">
        <v>8</v>
      </c>
      <c r="J172" s="15" t="inlineStr">
        <is>
          <t>Temporal split definition and audit</t>
        </is>
      </c>
      <c r="K172" s="17" t="n"/>
      <c r="L172" s="17" t="n"/>
      <c r="M172" s="12" t="n">
        <v>0</v>
      </c>
      <c r="N172" s="14">
        <f>IF(OR(K172="",L172=""),"",ROUND((L172-K172)*1440-N(M172),1))</f>
        <v/>
      </c>
      <c r="O172" s="17" t="n"/>
      <c r="P172" s="17" t="n"/>
      <c r="Q172" s="14">
        <f>IF(OR(O172="",P172=""),"",ROUND((P172-O172)*1440,1))</f>
        <v/>
      </c>
      <c r="R172" s="12" t="n"/>
      <c r="S172" s="12" t="inlineStr">
        <is>
          <t>Not started</t>
        </is>
      </c>
      <c r="T172" s="12" t="n"/>
      <c r="U172" s="12" t="n"/>
    </row>
    <row r="173">
      <c r="A173" s="10" t="inlineStr">
        <is>
          <t>OBS-169</t>
        </is>
      </c>
      <c r="B173" s="16" t="n"/>
      <c r="C173" s="12" t="n"/>
      <c r="D173" s="12" t="n"/>
      <c r="E173" s="10" t="inlineStr">
        <is>
          <t>Auto</t>
        </is>
      </c>
      <c r="F173" s="10" t="inlineStr">
        <is>
          <t>Pump</t>
        </is>
      </c>
      <c r="G173" s="10" t="inlineStr">
        <is>
          <t>CDWP_03</t>
        </is>
      </c>
      <c r="H173" s="10" t="n">
        <v>1</v>
      </c>
      <c r="I173" s="10" t="n">
        <v>1</v>
      </c>
      <c r="J173" s="10" t="inlineStr">
        <is>
          <t>Data loading and semantic mapping</t>
        </is>
      </c>
      <c r="K173" s="17" t="n"/>
      <c r="L173" s="17" t="n"/>
      <c r="M173" s="12" t="n">
        <v>0</v>
      </c>
      <c r="N173" s="14">
        <f>IF(OR(K173="",L173=""),"",ROUND((L173-K173)*1440-N(M173),1))</f>
        <v/>
      </c>
      <c r="O173" s="17" t="n"/>
      <c r="P173" s="17" t="n"/>
      <c r="Q173" s="14">
        <f>IF(OR(O173="",P173=""),"",ROUND((P173-O173)*1440,1))</f>
        <v/>
      </c>
      <c r="R173" s="12" t="n"/>
      <c r="S173" s="12" t="inlineStr">
        <is>
          <t>Not started</t>
        </is>
      </c>
      <c r="T173" s="12" t="n"/>
      <c r="U173" s="12" t="n"/>
    </row>
    <row r="174">
      <c r="A174" s="10" t="inlineStr">
        <is>
          <t>OBS-170</t>
        </is>
      </c>
      <c r="B174" s="16" t="n"/>
      <c r="C174" s="12" t="n"/>
      <c r="D174" s="12" t="n"/>
      <c r="E174" s="10" t="inlineStr">
        <is>
          <t>Auto</t>
        </is>
      </c>
      <c r="F174" s="10" t="inlineStr">
        <is>
          <t>Pump</t>
        </is>
      </c>
      <c r="G174" s="10" t="inlineStr">
        <is>
          <t>CDWP_03</t>
        </is>
      </c>
      <c r="H174" s="10" t="n">
        <v>1</v>
      </c>
      <c r="I174" s="10" t="n">
        <v>2</v>
      </c>
      <c r="J174" s="10" t="inlineStr">
        <is>
          <t>Valid model input table preparation</t>
        </is>
      </c>
      <c r="K174" s="17" t="n"/>
      <c r="L174" s="17" t="n"/>
      <c r="M174" s="12" t="n">
        <v>0</v>
      </c>
      <c r="N174" s="14">
        <f>IF(OR(K174="",L174=""),"",ROUND((L174-K174)*1440-N(M174),1))</f>
        <v/>
      </c>
      <c r="O174" s="17" t="n"/>
      <c r="P174" s="17" t="n"/>
      <c r="Q174" s="14">
        <f>IF(OR(O174="",P174=""),"",ROUND((P174-O174)*1440,1))</f>
        <v/>
      </c>
      <c r="R174" s="12" t="n"/>
      <c r="S174" s="12" t="inlineStr">
        <is>
          <t>Not started</t>
        </is>
      </c>
      <c r="T174" s="12" t="n"/>
      <c r="U174" s="12" t="n"/>
    </row>
    <row r="175">
      <c r="A175" s="10" t="inlineStr">
        <is>
          <t>OBS-171</t>
        </is>
      </c>
      <c r="B175" s="16" t="n"/>
      <c r="C175" s="12" t="n"/>
      <c r="D175" s="12" t="n"/>
      <c r="E175" s="10" t="inlineStr">
        <is>
          <t>Auto</t>
        </is>
      </c>
      <c r="F175" s="10" t="inlineStr">
        <is>
          <t>Pump</t>
        </is>
      </c>
      <c r="G175" s="10" t="inlineStr">
        <is>
          <t>CDWP_03</t>
        </is>
      </c>
      <c r="H175" s="10" t="n">
        <v>1</v>
      </c>
      <c r="I175" s="10" t="n">
        <v>3</v>
      </c>
      <c r="J175" s="10" t="inlineStr">
        <is>
          <t>Modelica/FMU candidate setup</t>
        </is>
      </c>
      <c r="K175" s="17" t="n"/>
      <c r="L175" s="17" t="n"/>
      <c r="M175" s="12" t="n">
        <v>0</v>
      </c>
      <c r="N175" s="14">
        <f>IF(OR(K175="",L175=""),"",ROUND((L175-K175)*1440-N(M175),1))</f>
        <v/>
      </c>
      <c r="O175" s="17" t="n"/>
      <c r="P175" s="17" t="n"/>
      <c r="Q175" s="14">
        <f>IF(OR(O175="",P175=""),"",ROUND((P175-O175)*1440,1))</f>
        <v/>
      </c>
      <c r="R175" s="12" t="n"/>
      <c r="S175" s="12" t="inlineStr">
        <is>
          <t>Not started</t>
        </is>
      </c>
      <c r="T175" s="12" t="n"/>
      <c r="U175" s="12" t="n"/>
    </row>
    <row r="176">
      <c r="A176" s="10" t="inlineStr">
        <is>
          <t>OBS-172</t>
        </is>
      </c>
      <c r="B176" s="16" t="n"/>
      <c r="C176" s="12" t="n"/>
      <c r="D176" s="12" t="n"/>
      <c r="E176" s="10" t="inlineStr">
        <is>
          <t>Auto</t>
        </is>
      </c>
      <c r="F176" s="10" t="inlineStr">
        <is>
          <t>Pump</t>
        </is>
      </c>
      <c r="G176" s="10" t="inlineStr">
        <is>
          <t>CDWP_03</t>
        </is>
      </c>
      <c r="H176" s="10" t="n">
        <v>1</v>
      </c>
      <c r="I176" s="10" t="n">
        <v>4</v>
      </c>
      <c r="J176" s="10" t="inlineStr">
        <is>
          <t>FMU parameter search</t>
        </is>
      </c>
      <c r="K176" s="17" t="n"/>
      <c r="L176" s="17" t="n"/>
      <c r="M176" s="12" t="n">
        <v>0</v>
      </c>
      <c r="N176" s="14">
        <f>IF(OR(K176="",L176=""),"",ROUND((L176-K176)*1440-N(M176),1))</f>
        <v/>
      </c>
      <c r="O176" s="17" t="n"/>
      <c r="P176" s="17" t="n"/>
      <c r="Q176" s="14">
        <f>IF(OR(O176="",P176=""),"",ROUND((P176-O176)*1440,1))</f>
        <v/>
      </c>
      <c r="R176" s="12" t="n"/>
      <c r="S176" s="12" t="inlineStr">
        <is>
          <t>Not started</t>
        </is>
      </c>
      <c r="T176" s="12" t="n"/>
      <c r="U176" s="12" t="n"/>
    </row>
    <row r="177">
      <c r="A177" s="10" t="inlineStr">
        <is>
          <t>OBS-173</t>
        </is>
      </c>
      <c r="B177" s="16" t="n"/>
      <c r="C177" s="12" t="n"/>
      <c r="D177" s="12" t="n"/>
      <c r="E177" s="10" t="inlineStr">
        <is>
          <t>Auto</t>
        </is>
      </c>
      <c r="F177" s="10" t="inlineStr">
        <is>
          <t>Pump</t>
        </is>
      </c>
      <c r="G177" s="10" t="inlineStr">
        <is>
          <t>CDWP_03</t>
        </is>
      </c>
      <c r="H177" s="10" t="n">
        <v>1</v>
      </c>
      <c r="I177" s="10" t="n">
        <v>5</v>
      </c>
      <c r="J177" s="10" t="inlineStr">
        <is>
          <t>Full-period refinement and validation</t>
        </is>
      </c>
      <c r="K177" s="17" t="n"/>
      <c r="L177" s="17" t="n"/>
      <c r="M177" s="12" t="n">
        <v>0</v>
      </c>
      <c r="N177" s="14">
        <f>IF(OR(K177="",L177=""),"",ROUND((L177-K177)*1440-N(M177),1))</f>
        <v/>
      </c>
      <c r="O177" s="17" t="n"/>
      <c r="P177" s="17" t="n"/>
      <c r="Q177" s="14">
        <f>IF(OR(O177="",P177=""),"",ROUND((P177-O177)*1440,1))</f>
        <v/>
      </c>
      <c r="R177" s="12" t="n"/>
      <c r="S177" s="12" t="inlineStr">
        <is>
          <t>Not started</t>
        </is>
      </c>
      <c r="T177" s="12" t="n"/>
      <c r="U177" s="12" t="n"/>
    </row>
    <row r="178">
      <c r="A178" s="10" t="inlineStr">
        <is>
          <t>OBS-174</t>
        </is>
      </c>
      <c r="B178" s="16" t="n"/>
      <c r="C178" s="12" t="n"/>
      <c r="D178" s="12" t="n"/>
      <c r="E178" s="10" t="inlineStr">
        <is>
          <t>Auto</t>
        </is>
      </c>
      <c r="F178" s="10" t="inlineStr">
        <is>
          <t>Pump</t>
        </is>
      </c>
      <c r="G178" s="10" t="inlineStr">
        <is>
          <t>CDWP_03</t>
        </is>
      </c>
      <c r="H178" s="10" t="n">
        <v>1</v>
      </c>
      <c r="I178" s="10" t="n">
        <v>6</v>
      </c>
      <c r="J178" s="10" t="inlineStr">
        <is>
          <t>Paper tables and figures</t>
        </is>
      </c>
      <c r="K178" s="17" t="n"/>
      <c r="L178" s="17" t="n"/>
      <c r="M178" s="12" t="n">
        <v>0</v>
      </c>
      <c r="N178" s="14">
        <f>IF(OR(K178="",L178=""),"",ROUND((L178-K178)*1440-N(M178),1))</f>
        <v/>
      </c>
      <c r="O178" s="17" t="n"/>
      <c r="P178" s="17" t="n"/>
      <c r="Q178" s="14">
        <f>IF(OR(O178="",P178=""),"",ROUND((P178-O178)*1440,1))</f>
        <v/>
      </c>
      <c r="R178" s="12" t="n"/>
      <c r="S178" s="12" t="inlineStr">
        <is>
          <t>Not started</t>
        </is>
      </c>
      <c r="T178" s="12" t="n"/>
      <c r="U178" s="12" t="n"/>
    </row>
    <row r="179">
      <c r="A179" s="10" t="inlineStr">
        <is>
          <t>OBS-175</t>
        </is>
      </c>
      <c r="B179" s="16" t="n"/>
      <c r="C179" s="12" t="n"/>
      <c r="D179" s="12" t="n"/>
      <c r="E179" s="10" t="inlineStr">
        <is>
          <t>Auto</t>
        </is>
      </c>
      <c r="F179" s="10" t="inlineStr">
        <is>
          <t>Pump</t>
        </is>
      </c>
      <c r="G179" s="10" t="inlineStr">
        <is>
          <t>CDWP_03</t>
        </is>
      </c>
      <c r="H179" s="10" t="n">
        <v>1</v>
      </c>
      <c r="I179" s="15" t="n">
        <v>7</v>
      </c>
      <c r="J179" s="15" t="inlineStr">
        <is>
          <t>Observability and evidence-grade review</t>
        </is>
      </c>
      <c r="K179" s="17" t="n"/>
      <c r="L179" s="17" t="n"/>
      <c r="M179" s="12" t="n">
        <v>0</v>
      </c>
      <c r="N179" s="14">
        <f>IF(OR(K179="",L179=""),"",ROUND((L179-K179)*1440-N(M179),1))</f>
        <v/>
      </c>
      <c r="O179" s="17" t="n"/>
      <c r="P179" s="17" t="n"/>
      <c r="Q179" s="14">
        <f>IF(OR(O179="",P179=""),"",ROUND((P179-O179)*1440,1))</f>
        <v/>
      </c>
      <c r="R179" s="12" t="n"/>
      <c r="S179" s="12" t="inlineStr">
        <is>
          <t>Not started</t>
        </is>
      </c>
      <c r="T179" s="12" t="n"/>
      <c r="U179" s="12" t="n"/>
    </row>
    <row r="180">
      <c r="A180" s="10" t="inlineStr">
        <is>
          <t>OBS-176</t>
        </is>
      </c>
      <c r="B180" s="16" t="n"/>
      <c r="C180" s="12" t="n"/>
      <c r="D180" s="12" t="n"/>
      <c r="E180" s="10" t="inlineStr">
        <is>
          <t>Auto</t>
        </is>
      </c>
      <c r="F180" s="10" t="inlineStr">
        <is>
          <t>Pump</t>
        </is>
      </c>
      <c r="G180" s="10" t="inlineStr">
        <is>
          <t>CDWP_03</t>
        </is>
      </c>
      <c r="H180" s="10" t="n">
        <v>1</v>
      </c>
      <c r="I180" s="15" t="n">
        <v>8</v>
      </c>
      <c r="J180" s="15" t="inlineStr">
        <is>
          <t>Temporal split definition and audit</t>
        </is>
      </c>
      <c r="K180" s="17" t="n"/>
      <c r="L180" s="17" t="n"/>
      <c r="M180" s="12" t="n">
        <v>0</v>
      </c>
      <c r="N180" s="14">
        <f>IF(OR(K180="",L180=""),"",ROUND((L180-K180)*1440-N(M180),1))</f>
        <v/>
      </c>
      <c r="O180" s="17" t="n"/>
      <c r="P180" s="17" t="n"/>
      <c r="Q180" s="14">
        <f>IF(OR(O180="",P180=""),"",ROUND((P180-O180)*1440,1))</f>
        <v/>
      </c>
      <c r="R180" s="12" t="n"/>
      <c r="S180" s="12" t="inlineStr">
        <is>
          <t>Not started</t>
        </is>
      </c>
      <c r="T180" s="12" t="n"/>
      <c r="U180" s="12" t="n"/>
    </row>
    <row r="181">
      <c r="A181" s="10" t="inlineStr">
        <is>
          <t>OBS-177</t>
        </is>
      </c>
      <c r="B181" s="16" t="n"/>
      <c r="C181" s="12" t="n"/>
      <c r="D181" s="12" t="n"/>
      <c r="E181" s="10" t="inlineStr">
        <is>
          <t>Auto</t>
        </is>
      </c>
      <c r="F181" s="10" t="inlineStr">
        <is>
          <t>Pump</t>
        </is>
      </c>
      <c r="G181" s="10" t="inlineStr">
        <is>
          <t>CHWP_01</t>
        </is>
      </c>
      <c r="H181" s="10" t="n">
        <v>2</v>
      </c>
      <c r="I181" s="10" t="n">
        <v>1</v>
      </c>
      <c r="J181" s="10" t="inlineStr">
        <is>
          <t>Data loading and semantic mapping</t>
        </is>
      </c>
      <c r="K181" s="17" t="n"/>
      <c r="L181" s="17" t="n"/>
      <c r="M181" s="12" t="n">
        <v>0</v>
      </c>
      <c r="N181" s="14">
        <f>IF(OR(K181="",L181=""),"",ROUND((L181-K181)*1440-N(M181),1))</f>
        <v/>
      </c>
      <c r="O181" s="17" t="n"/>
      <c r="P181" s="17" t="n"/>
      <c r="Q181" s="14">
        <f>IF(OR(O181="",P181=""),"",ROUND((P181-O181)*1440,1))</f>
        <v/>
      </c>
      <c r="R181" s="12" t="n"/>
      <c r="S181" s="12" t="inlineStr">
        <is>
          <t>Not started</t>
        </is>
      </c>
      <c r="T181" s="12" t="n"/>
      <c r="U181" s="12" t="n"/>
    </row>
    <row r="182">
      <c r="A182" s="10" t="inlineStr">
        <is>
          <t>OBS-178</t>
        </is>
      </c>
      <c r="B182" s="16" t="n"/>
      <c r="C182" s="12" t="n"/>
      <c r="D182" s="12" t="n"/>
      <c r="E182" s="10" t="inlineStr">
        <is>
          <t>Auto</t>
        </is>
      </c>
      <c r="F182" s="10" t="inlineStr">
        <is>
          <t>Pump</t>
        </is>
      </c>
      <c r="G182" s="10" t="inlineStr">
        <is>
          <t>CHWP_01</t>
        </is>
      </c>
      <c r="H182" s="10" t="n">
        <v>2</v>
      </c>
      <c r="I182" s="10" t="n">
        <v>2</v>
      </c>
      <c r="J182" s="10" t="inlineStr">
        <is>
          <t>Valid model input table preparation</t>
        </is>
      </c>
      <c r="K182" s="17" t="n"/>
      <c r="L182" s="17" t="n"/>
      <c r="M182" s="12" t="n">
        <v>0</v>
      </c>
      <c r="N182" s="14">
        <f>IF(OR(K182="",L182=""),"",ROUND((L182-K182)*1440-N(M182),1))</f>
        <v/>
      </c>
      <c r="O182" s="17" t="n"/>
      <c r="P182" s="17" t="n"/>
      <c r="Q182" s="14">
        <f>IF(OR(O182="",P182=""),"",ROUND((P182-O182)*1440,1))</f>
        <v/>
      </c>
      <c r="R182" s="12" t="n"/>
      <c r="S182" s="12" t="inlineStr">
        <is>
          <t>Not started</t>
        </is>
      </c>
      <c r="T182" s="12" t="n"/>
      <c r="U182" s="12" t="n"/>
    </row>
    <row r="183">
      <c r="A183" s="10" t="inlineStr">
        <is>
          <t>OBS-179</t>
        </is>
      </c>
      <c r="B183" s="16" t="n"/>
      <c r="C183" s="12" t="n"/>
      <c r="D183" s="12" t="n"/>
      <c r="E183" s="10" t="inlineStr">
        <is>
          <t>Auto</t>
        </is>
      </c>
      <c r="F183" s="10" t="inlineStr">
        <is>
          <t>Pump</t>
        </is>
      </c>
      <c r="G183" s="10" t="inlineStr">
        <is>
          <t>CHWP_01</t>
        </is>
      </c>
      <c r="H183" s="10" t="n">
        <v>2</v>
      </c>
      <c r="I183" s="10" t="n">
        <v>3</v>
      </c>
      <c r="J183" s="10" t="inlineStr">
        <is>
          <t>Modelica/FMU candidate setup</t>
        </is>
      </c>
      <c r="K183" s="17" t="n"/>
      <c r="L183" s="17" t="n"/>
      <c r="M183" s="12" t="n">
        <v>0</v>
      </c>
      <c r="N183" s="14">
        <f>IF(OR(K183="",L183=""),"",ROUND((L183-K183)*1440-N(M183),1))</f>
        <v/>
      </c>
      <c r="O183" s="17" t="n"/>
      <c r="P183" s="17" t="n"/>
      <c r="Q183" s="14">
        <f>IF(OR(O183="",P183=""),"",ROUND((P183-O183)*1440,1))</f>
        <v/>
      </c>
      <c r="R183" s="12" t="n"/>
      <c r="S183" s="12" t="inlineStr">
        <is>
          <t>Not started</t>
        </is>
      </c>
      <c r="T183" s="12" t="n"/>
      <c r="U183" s="12" t="n"/>
    </row>
    <row r="184">
      <c r="A184" s="10" t="inlineStr">
        <is>
          <t>OBS-180</t>
        </is>
      </c>
      <c r="B184" s="16" t="n"/>
      <c r="C184" s="12" t="n"/>
      <c r="D184" s="12" t="n"/>
      <c r="E184" s="10" t="inlineStr">
        <is>
          <t>Auto</t>
        </is>
      </c>
      <c r="F184" s="10" t="inlineStr">
        <is>
          <t>Pump</t>
        </is>
      </c>
      <c r="G184" s="10" t="inlineStr">
        <is>
          <t>CHWP_01</t>
        </is>
      </c>
      <c r="H184" s="10" t="n">
        <v>2</v>
      </c>
      <c r="I184" s="10" t="n">
        <v>4</v>
      </c>
      <c r="J184" s="10" t="inlineStr">
        <is>
          <t>FMU parameter search</t>
        </is>
      </c>
      <c r="K184" s="17" t="n"/>
      <c r="L184" s="17" t="n"/>
      <c r="M184" s="12" t="n">
        <v>0</v>
      </c>
      <c r="N184" s="14">
        <f>IF(OR(K184="",L184=""),"",ROUND((L184-K184)*1440-N(M184),1))</f>
        <v/>
      </c>
      <c r="O184" s="17" t="n"/>
      <c r="P184" s="17" t="n"/>
      <c r="Q184" s="14">
        <f>IF(OR(O184="",P184=""),"",ROUND((P184-O184)*1440,1))</f>
        <v/>
      </c>
      <c r="R184" s="12" t="n"/>
      <c r="S184" s="12" t="inlineStr">
        <is>
          <t>Not started</t>
        </is>
      </c>
      <c r="T184" s="12" t="n"/>
      <c r="U184" s="12" t="n"/>
    </row>
    <row r="185">
      <c r="A185" s="10" t="inlineStr">
        <is>
          <t>OBS-181</t>
        </is>
      </c>
      <c r="B185" s="16" t="n"/>
      <c r="C185" s="12" t="n"/>
      <c r="D185" s="12" t="n"/>
      <c r="E185" s="10" t="inlineStr">
        <is>
          <t>Auto</t>
        </is>
      </c>
      <c r="F185" s="10" t="inlineStr">
        <is>
          <t>Pump</t>
        </is>
      </c>
      <c r="G185" s="10" t="inlineStr">
        <is>
          <t>CHWP_01</t>
        </is>
      </c>
      <c r="H185" s="10" t="n">
        <v>2</v>
      </c>
      <c r="I185" s="10" t="n">
        <v>5</v>
      </c>
      <c r="J185" s="10" t="inlineStr">
        <is>
          <t>Full-period refinement and validation</t>
        </is>
      </c>
      <c r="K185" s="17" t="n"/>
      <c r="L185" s="17" t="n"/>
      <c r="M185" s="12" t="n">
        <v>0</v>
      </c>
      <c r="N185" s="14">
        <f>IF(OR(K185="",L185=""),"",ROUND((L185-K185)*1440-N(M185),1))</f>
        <v/>
      </c>
      <c r="O185" s="17" t="n"/>
      <c r="P185" s="17" t="n"/>
      <c r="Q185" s="14">
        <f>IF(OR(O185="",P185=""),"",ROUND((P185-O185)*1440,1))</f>
        <v/>
      </c>
      <c r="R185" s="12" t="n"/>
      <c r="S185" s="12" t="inlineStr">
        <is>
          <t>Not started</t>
        </is>
      </c>
      <c r="T185" s="12" t="n"/>
      <c r="U185" s="12" t="n"/>
    </row>
    <row r="186">
      <c r="A186" s="10" t="inlineStr">
        <is>
          <t>OBS-182</t>
        </is>
      </c>
      <c r="B186" s="16" t="n"/>
      <c r="C186" s="12" t="n"/>
      <c r="D186" s="12" t="n"/>
      <c r="E186" s="10" t="inlineStr">
        <is>
          <t>Auto</t>
        </is>
      </c>
      <c r="F186" s="10" t="inlineStr">
        <is>
          <t>Pump</t>
        </is>
      </c>
      <c r="G186" s="10" t="inlineStr">
        <is>
          <t>CHWP_01</t>
        </is>
      </c>
      <c r="H186" s="10" t="n">
        <v>2</v>
      </c>
      <c r="I186" s="10" t="n">
        <v>6</v>
      </c>
      <c r="J186" s="10" t="inlineStr">
        <is>
          <t>Paper tables and figures</t>
        </is>
      </c>
      <c r="K186" s="17" t="n"/>
      <c r="L186" s="17" t="n"/>
      <c r="M186" s="12" t="n">
        <v>0</v>
      </c>
      <c r="N186" s="14">
        <f>IF(OR(K186="",L186=""),"",ROUND((L186-K186)*1440-N(M186),1))</f>
        <v/>
      </c>
      <c r="O186" s="17" t="n"/>
      <c r="P186" s="17" t="n"/>
      <c r="Q186" s="14">
        <f>IF(OR(O186="",P186=""),"",ROUND((P186-O186)*1440,1))</f>
        <v/>
      </c>
      <c r="R186" s="12" t="n"/>
      <c r="S186" s="12" t="inlineStr">
        <is>
          <t>Not started</t>
        </is>
      </c>
      <c r="T186" s="12" t="n"/>
      <c r="U186" s="12" t="n"/>
    </row>
    <row r="187">
      <c r="A187" s="10" t="inlineStr">
        <is>
          <t>OBS-183</t>
        </is>
      </c>
      <c r="B187" s="16" t="n"/>
      <c r="C187" s="12" t="n"/>
      <c r="D187" s="12" t="n"/>
      <c r="E187" s="10" t="inlineStr">
        <is>
          <t>Auto</t>
        </is>
      </c>
      <c r="F187" s="10" t="inlineStr">
        <is>
          <t>Pump</t>
        </is>
      </c>
      <c r="G187" s="10" t="inlineStr">
        <is>
          <t>CHWP_01</t>
        </is>
      </c>
      <c r="H187" s="10" t="n">
        <v>2</v>
      </c>
      <c r="I187" s="15" t="n">
        <v>7</v>
      </c>
      <c r="J187" s="15" t="inlineStr">
        <is>
          <t>Observability and evidence-grade review</t>
        </is>
      </c>
      <c r="K187" s="17" t="n"/>
      <c r="L187" s="17" t="n"/>
      <c r="M187" s="12" t="n">
        <v>0</v>
      </c>
      <c r="N187" s="14">
        <f>IF(OR(K187="",L187=""),"",ROUND((L187-K187)*1440-N(M187),1))</f>
        <v/>
      </c>
      <c r="O187" s="17" t="n"/>
      <c r="P187" s="17" t="n"/>
      <c r="Q187" s="14">
        <f>IF(OR(O187="",P187=""),"",ROUND((P187-O187)*1440,1))</f>
        <v/>
      </c>
      <c r="R187" s="12" t="n"/>
      <c r="S187" s="12" t="inlineStr">
        <is>
          <t>Not started</t>
        </is>
      </c>
      <c r="T187" s="12" t="n"/>
      <c r="U187" s="12" t="n"/>
    </row>
    <row r="188">
      <c r="A188" s="10" t="inlineStr">
        <is>
          <t>OBS-184</t>
        </is>
      </c>
      <c r="B188" s="16" t="n"/>
      <c r="C188" s="12" t="n"/>
      <c r="D188" s="12" t="n"/>
      <c r="E188" s="10" t="inlineStr">
        <is>
          <t>Auto</t>
        </is>
      </c>
      <c r="F188" s="10" t="inlineStr">
        <is>
          <t>Pump</t>
        </is>
      </c>
      <c r="G188" s="10" t="inlineStr">
        <is>
          <t>CHWP_01</t>
        </is>
      </c>
      <c r="H188" s="10" t="n">
        <v>2</v>
      </c>
      <c r="I188" s="15" t="n">
        <v>8</v>
      </c>
      <c r="J188" s="15" t="inlineStr">
        <is>
          <t>Temporal split definition and audit</t>
        </is>
      </c>
      <c r="K188" s="17" t="n"/>
      <c r="L188" s="17" t="n"/>
      <c r="M188" s="12" t="n">
        <v>0</v>
      </c>
      <c r="N188" s="14">
        <f>IF(OR(K188="",L188=""),"",ROUND((L188-K188)*1440-N(M188),1))</f>
        <v/>
      </c>
      <c r="O188" s="17" t="n"/>
      <c r="P188" s="17" t="n"/>
      <c r="Q188" s="14">
        <f>IF(OR(O188="",P188=""),"",ROUND((P188-O188)*1440,1))</f>
        <v/>
      </c>
      <c r="R188" s="12" t="n"/>
      <c r="S188" s="12" t="inlineStr">
        <is>
          <t>Not started</t>
        </is>
      </c>
      <c r="T188" s="12" t="n"/>
      <c r="U188" s="12" t="n"/>
    </row>
    <row r="189">
      <c r="A189" s="10" t="inlineStr">
        <is>
          <t>OBS-185</t>
        </is>
      </c>
      <c r="B189" s="16" t="n"/>
      <c r="C189" s="12" t="n"/>
      <c r="D189" s="12" t="n"/>
      <c r="E189" s="10" t="inlineStr">
        <is>
          <t>Auto</t>
        </is>
      </c>
      <c r="F189" s="10" t="inlineStr">
        <is>
          <t>Pump</t>
        </is>
      </c>
      <c r="G189" s="10" t="inlineStr">
        <is>
          <t>CDWP_02</t>
        </is>
      </c>
      <c r="H189" s="10" t="n">
        <v>3</v>
      </c>
      <c r="I189" s="10" t="n">
        <v>1</v>
      </c>
      <c r="J189" s="10" t="inlineStr">
        <is>
          <t>Data loading and semantic mapping</t>
        </is>
      </c>
      <c r="K189" s="17" t="n"/>
      <c r="L189" s="17" t="n"/>
      <c r="M189" s="12" t="n">
        <v>0</v>
      </c>
      <c r="N189" s="14">
        <f>IF(OR(K189="",L189=""),"",ROUND((L189-K189)*1440-N(M189),1))</f>
        <v/>
      </c>
      <c r="O189" s="17" t="n"/>
      <c r="P189" s="17" t="n"/>
      <c r="Q189" s="14">
        <f>IF(OR(O189="",P189=""),"",ROUND((P189-O189)*1440,1))</f>
        <v/>
      </c>
      <c r="R189" s="12" t="n"/>
      <c r="S189" s="12" t="inlineStr">
        <is>
          <t>Not started</t>
        </is>
      </c>
      <c r="T189" s="12" t="n"/>
      <c r="U189" s="12" t="n"/>
    </row>
    <row r="190">
      <c r="A190" s="10" t="inlineStr">
        <is>
          <t>OBS-186</t>
        </is>
      </c>
      <c r="B190" s="16" t="n"/>
      <c r="C190" s="12" t="n"/>
      <c r="D190" s="12" t="n"/>
      <c r="E190" s="10" t="inlineStr">
        <is>
          <t>Auto</t>
        </is>
      </c>
      <c r="F190" s="10" t="inlineStr">
        <is>
          <t>Pump</t>
        </is>
      </c>
      <c r="G190" s="10" t="inlineStr">
        <is>
          <t>CDWP_02</t>
        </is>
      </c>
      <c r="H190" s="10" t="n">
        <v>3</v>
      </c>
      <c r="I190" s="10" t="n">
        <v>2</v>
      </c>
      <c r="J190" s="10" t="inlineStr">
        <is>
          <t>Valid model input table preparation</t>
        </is>
      </c>
      <c r="K190" s="17" t="n"/>
      <c r="L190" s="17" t="n"/>
      <c r="M190" s="12" t="n">
        <v>0</v>
      </c>
      <c r="N190" s="14">
        <f>IF(OR(K190="",L190=""),"",ROUND((L190-K190)*1440-N(M190),1))</f>
        <v/>
      </c>
      <c r="O190" s="17" t="n"/>
      <c r="P190" s="17" t="n"/>
      <c r="Q190" s="14">
        <f>IF(OR(O190="",P190=""),"",ROUND((P190-O190)*1440,1))</f>
        <v/>
      </c>
      <c r="R190" s="12" t="n"/>
      <c r="S190" s="12" t="inlineStr">
        <is>
          <t>Not started</t>
        </is>
      </c>
      <c r="T190" s="12" t="n"/>
      <c r="U190" s="12" t="n"/>
    </row>
    <row r="191">
      <c r="A191" s="10" t="inlineStr">
        <is>
          <t>OBS-187</t>
        </is>
      </c>
      <c r="B191" s="16" t="n"/>
      <c r="C191" s="12" t="n"/>
      <c r="D191" s="12" t="n"/>
      <c r="E191" s="10" t="inlineStr">
        <is>
          <t>Auto</t>
        </is>
      </c>
      <c r="F191" s="10" t="inlineStr">
        <is>
          <t>Pump</t>
        </is>
      </c>
      <c r="G191" s="10" t="inlineStr">
        <is>
          <t>CDWP_02</t>
        </is>
      </c>
      <c r="H191" s="10" t="n">
        <v>3</v>
      </c>
      <c r="I191" s="10" t="n">
        <v>3</v>
      </c>
      <c r="J191" s="10" t="inlineStr">
        <is>
          <t>Modelica/FMU candidate setup</t>
        </is>
      </c>
      <c r="K191" s="17" t="n"/>
      <c r="L191" s="17" t="n"/>
      <c r="M191" s="12" t="n">
        <v>0</v>
      </c>
      <c r="N191" s="14">
        <f>IF(OR(K191="",L191=""),"",ROUND((L191-K191)*1440-N(M191),1))</f>
        <v/>
      </c>
      <c r="O191" s="17" t="n"/>
      <c r="P191" s="17" t="n"/>
      <c r="Q191" s="14">
        <f>IF(OR(O191="",P191=""),"",ROUND((P191-O191)*1440,1))</f>
        <v/>
      </c>
      <c r="R191" s="12" t="n"/>
      <c r="S191" s="12" t="inlineStr">
        <is>
          <t>Not started</t>
        </is>
      </c>
      <c r="T191" s="12" t="n"/>
      <c r="U191" s="12" t="n"/>
    </row>
    <row r="192">
      <c r="A192" s="10" t="inlineStr">
        <is>
          <t>OBS-188</t>
        </is>
      </c>
      <c r="B192" s="16" t="n"/>
      <c r="C192" s="12" t="n"/>
      <c r="D192" s="12" t="n"/>
      <c r="E192" s="10" t="inlineStr">
        <is>
          <t>Auto</t>
        </is>
      </c>
      <c r="F192" s="10" t="inlineStr">
        <is>
          <t>Pump</t>
        </is>
      </c>
      <c r="G192" s="10" t="inlineStr">
        <is>
          <t>CDWP_02</t>
        </is>
      </c>
      <c r="H192" s="10" t="n">
        <v>3</v>
      </c>
      <c r="I192" s="10" t="n">
        <v>4</v>
      </c>
      <c r="J192" s="10" t="inlineStr">
        <is>
          <t>FMU parameter search</t>
        </is>
      </c>
      <c r="K192" s="17" t="n"/>
      <c r="L192" s="17" t="n"/>
      <c r="M192" s="12" t="n">
        <v>0</v>
      </c>
      <c r="N192" s="14">
        <f>IF(OR(K192="",L192=""),"",ROUND((L192-K192)*1440-N(M192),1))</f>
        <v/>
      </c>
      <c r="O192" s="17" t="n"/>
      <c r="P192" s="17" t="n"/>
      <c r="Q192" s="14">
        <f>IF(OR(O192="",P192=""),"",ROUND((P192-O192)*1440,1))</f>
        <v/>
      </c>
      <c r="R192" s="12" t="n"/>
      <c r="S192" s="12" t="inlineStr">
        <is>
          <t>Not started</t>
        </is>
      </c>
      <c r="T192" s="12" t="n"/>
      <c r="U192" s="12" t="n"/>
    </row>
    <row r="193">
      <c r="A193" s="10" t="inlineStr">
        <is>
          <t>OBS-189</t>
        </is>
      </c>
      <c r="B193" s="16" t="n"/>
      <c r="C193" s="12" t="n"/>
      <c r="D193" s="12" t="n"/>
      <c r="E193" s="10" t="inlineStr">
        <is>
          <t>Auto</t>
        </is>
      </c>
      <c r="F193" s="10" t="inlineStr">
        <is>
          <t>Pump</t>
        </is>
      </c>
      <c r="G193" s="10" t="inlineStr">
        <is>
          <t>CDWP_02</t>
        </is>
      </c>
      <c r="H193" s="10" t="n">
        <v>3</v>
      </c>
      <c r="I193" s="10" t="n">
        <v>5</v>
      </c>
      <c r="J193" s="10" t="inlineStr">
        <is>
          <t>Full-period refinement and validation</t>
        </is>
      </c>
      <c r="K193" s="17" t="n"/>
      <c r="L193" s="17" t="n"/>
      <c r="M193" s="12" t="n">
        <v>0</v>
      </c>
      <c r="N193" s="14">
        <f>IF(OR(K193="",L193=""),"",ROUND((L193-K193)*1440-N(M193),1))</f>
        <v/>
      </c>
      <c r="O193" s="17" t="n"/>
      <c r="P193" s="17" t="n"/>
      <c r="Q193" s="14">
        <f>IF(OR(O193="",P193=""),"",ROUND((P193-O193)*1440,1))</f>
        <v/>
      </c>
      <c r="R193" s="12" t="n"/>
      <c r="S193" s="12" t="inlineStr">
        <is>
          <t>Not started</t>
        </is>
      </c>
      <c r="T193" s="12" t="n"/>
      <c r="U193" s="12" t="n"/>
    </row>
    <row r="194">
      <c r="A194" s="10" t="inlineStr">
        <is>
          <t>OBS-190</t>
        </is>
      </c>
      <c r="B194" s="16" t="n"/>
      <c r="C194" s="12" t="n"/>
      <c r="D194" s="12" t="n"/>
      <c r="E194" s="10" t="inlineStr">
        <is>
          <t>Auto</t>
        </is>
      </c>
      <c r="F194" s="10" t="inlineStr">
        <is>
          <t>Pump</t>
        </is>
      </c>
      <c r="G194" s="10" t="inlineStr">
        <is>
          <t>CDWP_02</t>
        </is>
      </c>
      <c r="H194" s="10" t="n">
        <v>3</v>
      </c>
      <c r="I194" s="10" t="n">
        <v>6</v>
      </c>
      <c r="J194" s="10" t="inlineStr">
        <is>
          <t>Paper tables and figures</t>
        </is>
      </c>
      <c r="K194" s="17" t="n"/>
      <c r="L194" s="17" t="n"/>
      <c r="M194" s="12" t="n">
        <v>0</v>
      </c>
      <c r="N194" s="14">
        <f>IF(OR(K194="",L194=""),"",ROUND((L194-K194)*1440-N(M194),1))</f>
        <v/>
      </c>
      <c r="O194" s="17" t="n"/>
      <c r="P194" s="17" t="n"/>
      <c r="Q194" s="14">
        <f>IF(OR(O194="",P194=""),"",ROUND((P194-O194)*1440,1))</f>
        <v/>
      </c>
      <c r="R194" s="12" t="n"/>
      <c r="S194" s="12" t="inlineStr">
        <is>
          <t>Not started</t>
        </is>
      </c>
      <c r="T194" s="12" t="n"/>
      <c r="U194" s="12" t="n"/>
    </row>
    <row r="195">
      <c r="A195" s="10" t="inlineStr">
        <is>
          <t>OBS-191</t>
        </is>
      </c>
      <c r="B195" s="16" t="n"/>
      <c r="C195" s="12" t="n"/>
      <c r="D195" s="12" t="n"/>
      <c r="E195" s="10" t="inlineStr">
        <is>
          <t>Auto</t>
        </is>
      </c>
      <c r="F195" s="10" t="inlineStr">
        <is>
          <t>Pump</t>
        </is>
      </c>
      <c r="G195" s="10" t="inlineStr">
        <is>
          <t>CDWP_02</t>
        </is>
      </c>
      <c r="H195" s="10" t="n">
        <v>3</v>
      </c>
      <c r="I195" s="15" t="n">
        <v>7</v>
      </c>
      <c r="J195" s="15" t="inlineStr">
        <is>
          <t>Observability and evidence-grade review</t>
        </is>
      </c>
      <c r="K195" s="17" t="n"/>
      <c r="L195" s="17" t="n"/>
      <c r="M195" s="12" t="n">
        <v>0</v>
      </c>
      <c r="N195" s="14">
        <f>IF(OR(K195="",L195=""),"",ROUND((L195-K195)*1440-N(M195),1))</f>
        <v/>
      </c>
      <c r="O195" s="17" t="n"/>
      <c r="P195" s="17" t="n"/>
      <c r="Q195" s="14">
        <f>IF(OR(O195="",P195=""),"",ROUND((P195-O195)*1440,1))</f>
        <v/>
      </c>
      <c r="R195" s="12" t="n"/>
      <c r="S195" s="12" t="inlineStr">
        <is>
          <t>Not started</t>
        </is>
      </c>
      <c r="T195" s="12" t="n"/>
      <c r="U195" s="12" t="n"/>
    </row>
    <row r="196">
      <c r="A196" s="10" t="inlineStr">
        <is>
          <t>OBS-192</t>
        </is>
      </c>
      <c r="B196" s="16" t="n"/>
      <c r="C196" s="12" t="n"/>
      <c r="D196" s="12" t="n"/>
      <c r="E196" s="10" t="inlineStr">
        <is>
          <t>Auto</t>
        </is>
      </c>
      <c r="F196" s="10" t="inlineStr">
        <is>
          <t>Pump</t>
        </is>
      </c>
      <c r="G196" s="10" t="inlineStr">
        <is>
          <t>CDWP_02</t>
        </is>
      </c>
      <c r="H196" s="10" t="n">
        <v>3</v>
      </c>
      <c r="I196" s="15" t="n">
        <v>8</v>
      </c>
      <c r="J196" s="15" t="inlineStr">
        <is>
          <t>Temporal split definition and audit</t>
        </is>
      </c>
      <c r="K196" s="17" t="n"/>
      <c r="L196" s="17" t="n"/>
      <c r="M196" s="12" t="n">
        <v>0</v>
      </c>
      <c r="N196" s="14">
        <f>IF(OR(K196="",L196=""),"",ROUND((L196-K196)*1440-N(M196),1))</f>
        <v/>
      </c>
      <c r="O196" s="17" t="n"/>
      <c r="P196" s="17" t="n"/>
      <c r="Q196" s="14">
        <f>IF(OR(O196="",P196=""),"",ROUND((P196-O196)*1440,1))</f>
        <v/>
      </c>
      <c r="R196" s="12" t="n"/>
      <c r="S196" s="12" t="inlineStr">
        <is>
          <t>Not started</t>
        </is>
      </c>
      <c r="T196" s="12" t="n"/>
      <c r="U196" s="12" t="n"/>
    </row>
    <row r="197">
      <c r="A197" s="10" t="inlineStr">
        <is>
          <t>OBS-193</t>
        </is>
      </c>
      <c r="B197" s="16" t="n">
        <v>46192</v>
      </c>
      <c r="C197" s="12" t="inlineStr">
        <is>
          <t>OP-001</t>
        </is>
      </c>
      <c r="D197" s="12" t="inlineStr">
        <is>
          <t>OBS-001</t>
        </is>
      </c>
      <c r="E197" s="10" t="inlineStr">
        <is>
          <t>Manual</t>
        </is>
      </c>
      <c r="F197" s="10" t="inlineStr">
        <is>
          <t>Heat exchanger</t>
        </is>
      </c>
      <c r="G197" s="10" t="inlineStr">
        <is>
          <t>FAMILY_SETUP</t>
        </is>
      </c>
      <c r="H197" s="10" t="n">
        <v>0</v>
      </c>
      <c r="I197" s="10" t="n">
        <v>1</v>
      </c>
      <c r="J197" s="10" t="inlineStr">
        <is>
          <t>Data loading and semantic mapping</t>
        </is>
      </c>
      <c r="K197" s="17" t="n">
        <v>46192.35972222222</v>
      </c>
      <c r="L197" s="17" t="n">
        <v>46192.37708333333</v>
      </c>
      <c r="M197" s="12" t="n">
        <v>0</v>
      </c>
      <c r="N197" s="14">
        <f>IF(OR(K197="",L197=""),"",ROUND((L197-K197)*1440-N(M197),1))</f>
        <v/>
      </c>
      <c r="O197" s="17" t="n"/>
      <c r="P197" s="17" t="n"/>
      <c r="Q197" s="14">
        <f>IF(OR(O197="",P197=""),"",ROUND((P197-O197)*1440,1))</f>
        <v/>
      </c>
      <c r="R197" s="12" t="n"/>
      <c r="S197" s="12" t="inlineStr">
        <is>
          <t>Complete</t>
        </is>
      </c>
      <c r="T197" s="12" t="n"/>
      <c r="U197" s="12" t="n"/>
    </row>
    <row r="198">
      <c r="A198" s="10" t="inlineStr">
        <is>
          <t>OBS-194</t>
        </is>
      </c>
      <c r="B198" s="16" t="n">
        <v>46192</v>
      </c>
      <c r="C198" s="12" t="inlineStr">
        <is>
          <t>OP-001</t>
        </is>
      </c>
      <c r="D198" s="12" t="inlineStr">
        <is>
          <t>OBS-001</t>
        </is>
      </c>
      <c r="E198" s="10" t="inlineStr">
        <is>
          <t>Manual</t>
        </is>
      </c>
      <c r="F198" s="10" t="inlineStr">
        <is>
          <t>Heat exchanger</t>
        </is>
      </c>
      <c r="G198" s="10" t="inlineStr">
        <is>
          <t>FAMILY_SETUP</t>
        </is>
      </c>
      <c r="H198" s="10" t="n">
        <v>0</v>
      </c>
      <c r="I198" s="10" t="n">
        <v>2</v>
      </c>
      <c r="J198" s="10" t="inlineStr">
        <is>
          <t>Valid model input table preparation</t>
        </is>
      </c>
      <c r="K198" s="17" t="n">
        <v>46192.38333333333</v>
      </c>
      <c r="L198" s="17" t="n">
        <v>46192.40416666667</v>
      </c>
      <c r="M198" s="12" t="n">
        <v>0</v>
      </c>
      <c r="N198" s="14">
        <f>IF(OR(K198="",L198=""),"",ROUND((L198-K198)*1440-N(M198),1))</f>
        <v/>
      </c>
      <c r="O198" s="17" t="n"/>
      <c r="P198" s="17" t="n"/>
      <c r="Q198" s="14">
        <f>IF(OR(O198="",P198=""),"",ROUND((P198-O198)*1440,1))</f>
        <v/>
      </c>
      <c r="R198" s="12" t="n"/>
      <c r="S198" s="12" t="inlineStr">
        <is>
          <t>Complete</t>
        </is>
      </c>
      <c r="T198" s="12" t="n"/>
      <c r="U198" s="12" t="n"/>
    </row>
    <row r="199">
      <c r="A199" s="10" t="inlineStr">
        <is>
          <t>OBS-195</t>
        </is>
      </c>
      <c r="B199" s="16" t="n">
        <v>46192</v>
      </c>
      <c r="C199" s="12" t="inlineStr">
        <is>
          <t>OP-001</t>
        </is>
      </c>
      <c r="D199" s="12" t="inlineStr">
        <is>
          <t>OBS-001</t>
        </is>
      </c>
      <c r="E199" s="10" t="inlineStr">
        <is>
          <t>Manual</t>
        </is>
      </c>
      <c r="F199" s="10" t="inlineStr">
        <is>
          <t>Heat exchanger</t>
        </is>
      </c>
      <c r="G199" s="10" t="inlineStr">
        <is>
          <t>FAMILY_SETUP</t>
        </is>
      </c>
      <c r="H199" s="10" t="n">
        <v>0</v>
      </c>
      <c r="I199" s="10" t="n">
        <v>3</v>
      </c>
      <c r="J199" s="10" t="inlineStr">
        <is>
          <t>Modelica/FMU candidate setup</t>
        </is>
      </c>
      <c r="K199" s="17" t="n">
        <v>46192.40694444445</v>
      </c>
      <c r="L199" s="17" t="n">
        <v>46192.44027777778</v>
      </c>
      <c r="M199" s="12" t="n">
        <v>3</v>
      </c>
      <c r="N199" s="14">
        <f>IF(OR(K199="",L199=""),"",ROUND((L199-K199)*1440-N(M199),1))</f>
        <v/>
      </c>
      <c r="O199" s="17" t="n"/>
      <c r="P199" s="17" t="n"/>
      <c r="Q199" s="14">
        <f>IF(OR(O199="",P199=""),"",ROUND((P199-O199)*1440,1))</f>
        <v/>
      </c>
      <c r="R199" s="12" t="n"/>
      <c r="S199" s="12" t="inlineStr">
        <is>
          <t>Complete</t>
        </is>
      </c>
      <c r="T199" s="12" t="n"/>
      <c r="U199" s="12" t="n"/>
    </row>
    <row r="200">
      <c r="A200" s="10" t="inlineStr">
        <is>
          <t>OBS-196</t>
        </is>
      </c>
      <c r="B200" s="16" t="n">
        <v>46192</v>
      </c>
      <c r="C200" s="12" t="inlineStr">
        <is>
          <t>OP-001</t>
        </is>
      </c>
      <c r="D200" s="12" t="inlineStr">
        <is>
          <t>OBS-001</t>
        </is>
      </c>
      <c r="E200" s="10" t="inlineStr">
        <is>
          <t>Manual</t>
        </is>
      </c>
      <c r="F200" s="10" t="inlineStr">
        <is>
          <t>Heat exchanger</t>
        </is>
      </c>
      <c r="G200" s="10" t="inlineStr">
        <is>
          <t>FAMILY_SETUP</t>
        </is>
      </c>
      <c r="H200" s="10" t="n">
        <v>0</v>
      </c>
      <c r="I200" s="10" t="n">
        <v>4</v>
      </c>
      <c r="J200" s="10" t="inlineStr">
        <is>
          <t>FMU parameter search</t>
        </is>
      </c>
      <c r="K200" s="17" t="n">
        <v>46192.44375</v>
      </c>
      <c r="L200" s="17" t="n">
        <v>46192.47013888889</v>
      </c>
      <c r="M200" s="12" t="n">
        <v>3</v>
      </c>
      <c r="N200" s="14">
        <f>IF(OR(K200="",L200=""),"",ROUND((L200-K200)*1440-N(M200),1))</f>
        <v/>
      </c>
      <c r="O200" s="17" t="n"/>
      <c r="P200" s="17" t="n"/>
      <c r="Q200" s="14">
        <f>IF(OR(O200="",P200=""),"",ROUND((P200-O200)*1440,1))</f>
        <v/>
      </c>
      <c r="R200" s="12" t="n"/>
      <c r="S200" s="12" t="inlineStr">
        <is>
          <t>Complete</t>
        </is>
      </c>
      <c r="T200" s="12" t="n"/>
      <c r="U200" s="12" t="n"/>
    </row>
    <row r="201">
      <c r="A201" s="10" t="inlineStr">
        <is>
          <t>OBS-197</t>
        </is>
      </c>
      <c r="B201" s="16" t="n">
        <v>46192</v>
      </c>
      <c r="C201" s="12" t="inlineStr">
        <is>
          <t>OP-001</t>
        </is>
      </c>
      <c r="D201" s="12" t="inlineStr">
        <is>
          <t>OBS-001</t>
        </is>
      </c>
      <c r="E201" s="10" t="inlineStr">
        <is>
          <t>Manual</t>
        </is>
      </c>
      <c r="F201" s="10" t="inlineStr">
        <is>
          <t>Heat exchanger</t>
        </is>
      </c>
      <c r="G201" s="10" t="inlineStr">
        <is>
          <t>FAMILY_SETUP</t>
        </is>
      </c>
      <c r="H201" s="10" t="n">
        <v>0</v>
      </c>
      <c r="I201" s="10" t="n">
        <v>5</v>
      </c>
      <c r="J201" s="10" t="inlineStr">
        <is>
          <t>Full-period refinement and validation</t>
        </is>
      </c>
      <c r="K201" s="17" t="n">
        <v>46192.475</v>
      </c>
      <c r="L201" s="17" t="n">
        <v>46192.49583333333</v>
      </c>
      <c r="M201" s="12" t="n">
        <v>0</v>
      </c>
      <c r="N201" s="14">
        <f>IF(OR(K201="",L201=""),"",ROUND((L201-K201)*1440-N(M201),1))</f>
        <v/>
      </c>
      <c r="O201" s="17" t="n"/>
      <c r="P201" s="17" t="n"/>
      <c r="Q201" s="14">
        <f>IF(OR(O201="",P201=""),"",ROUND((P201-O201)*1440,1))</f>
        <v/>
      </c>
      <c r="R201" s="12" t="n"/>
      <c r="S201" s="12" t="inlineStr">
        <is>
          <t>Complete</t>
        </is>
      </c>
      <c r="T201" s="12" t="n"/>
      <c r="U201" s="12" t="n"/>
    </row>
    <row r="202">
      <c r="A202" s="10" t="inlineStr">
        <is>
          <t>OBS-198</t>
        </is>
      </c>
      <c r="B202" s="16" t="n">
        <v>46192</v>
      </c>
      <c r="C202" s="12" t="inlineStr">
        <is>
          <t>OP-001</t>
        </is>
      </c>
      <c r="D202" s="12" t="inlineStr">
        <is>
          <t>OBS-001</t>
        </is>
      </c>
      <c r="E202" s="10" t="inlineStr">
        <is>
          <t>Manual</t>
        </is>
      </c>
      <c r="F202" s="10" t="inlineStr">
        <is>
          <t>Heat exchanger</t>
        </is>
      </c>
      <c r="G202" s="10" t="inlineStr">
        <is>
          <t>FAMILY_SETUP</t>
        </is>
      </c>
      <c r="H202" s="10" t="n">
        <v>0</v>
      </c>
      <c r="I202" s="10" t="n">
        <v>6</v>
      </c>
      <c r="J202" s="10" t="inlineStr">
        <is>
          <t>Paper tables and figures</t>
        </is>
      </c>
      <c r="K202" s="17" t="n">
        <v>46192.55347222222</v>
      </c>
      <c r="L202" s="17" t="n">
        <v>46192.56597222222</v>
      </c>
      <c r="M202" s="12" t="n">
        <v>0</v>
      </c>
      <c r="N202" s="14">
        <f>IF(OR(K202="",L202=""),"",ROUND((L202-K202)*1440-N(M202),1))</f>
        <v/>
      </c>
      <c r="O202" s="17" t="n"/>
      <c r="P202" s="17" t="n"/>
      <c r="Q202" s="14">
        <f>IF(OR(O202="",P202=""),"",ROUND((P202-O202)*1440,1))</f>
        <v/>
      </c>
      <c r="R202" s="12" t="n"/>
      <c r="S202" s="12" t="inlineStr">
        <is>
          <t>Complete</t>
        </is>
      </c>
      <c r="T202" s="12" t="n"/>
      <c r="U202" s="12" t="n"/>
    </row>
    <row r="203">
      <c r="A203" s="10" t="inlineStr">
        <is>
          <t>OBS-199</t>
        </is>
      </c>
      <c r="B203" s="16" t="n">
        <v>46192</v>
      </c>
      <c r="C203" s="12" t="inlineStr">
        <is>
          <t>OP-001</t>
        </is>
      </c>
      <c r="D203" s="12" t="inlineStr">
        <is>
          <t>OBS-001</t>
        </is>
      </c>
      <c r="E203" s="10" t="inlineStr">
        <is>
          <t>Manual</t>
        </is>
      </c>
      <c r="F203" s="10" t="inlineStr">
        <is>
          <t>Heat exchanger</t>
        </is>
      </c>
      <c r="G203" s="10" t="inlineStr">
        <is>
          <t>FAMILY_SETUP</t>
        </is>
      </c>
      <c r="H203" s="10" t="n">
        <v>0</v>
      </c>
      <c r="I203" s="15" t="n">
        <v>7</v>
      </c>
      <c r="J203" s="15" t="inlineStr">
        <is>
          <t>Observability and evidence-grade review</t>
        </is>
      </c>
      <c r="K203" s="17" t="n">
        <v>46192.57916666667</v>
      </c>
      <c r="L203" s="17" t="n">
        <v>46192.60347222222</v>
      </c>
      <c r="M203" s="12" t="n">
        <v>0</v>
      </c>
      <c r="N203" s="14">
        <f>IF(OR(K203="",L203=""),"",ROUND((L203-K203)*1440-N(M203),1))</f>
        <v/>
      </c>
      <c r="O203" s="17" t="n"/>
      <c r="P203" s="17" t="n"/>
      <c r="Q203" s="14">
        <f>IF(OR(O203="",P203=""),"",ROUND((P203-O203)*1440,1))</f>
        <v/>
      </c>
      <c r="R203" s="12" t="n"/>
      <c r="S203" s="12" t="inlineStr">
        <is>
          <t>Complete</t>
        </is>
      </c>
      <c r="T203" s="12" t="n"/>
      <c r="U203" s="12" t="n"/>
    </row>
    <row r="204">
      <c r="A204" s="10" t="inlineStr">
        <is>
          <t>OBS-200</t>
        </is>
      </c>
      <c r="B204" s="16" t="n">
        <v>46192</v>
      </c>
      <c r="C204" s="12" t="inlineStr">
        <is>
          <t>OP-001</t>
        </is>
      </c>
      <c r="D204" s="12" t="inlineStr">
        <is>
          <t>OBS-001</t>
        </is>
      </c>
      <c r="E204" s="10" t="inlineStr">
        <is>
          <t>Manual</t>
        </is>
      </c>
      <c r="F204" s="10" t="inlineStr">
        <is>
          <t>Heat exchanger</t>
        </is>
      </c>
      <c r="G204" s="10" t="inlineStr">
        <is>
          <t>FAMILY_SETUP</t>
        </is>
      </c>
      <c r="H204" s="10" t="n">
        <v>0</v>
      </c>
      <c r="I204" s="15" t="n">
        <v>8</v>
      </c>
      <c r="J204" s="15" t="inlineStr">
        <is>
          <t>Temporal split definition and audit</t>
        </is>
      </c>
      <c r="K204" s="17" t="n">
        <v>46192.61041666667</v>
      </c>
      <c r="L204" s="17" t="n">
        <v>46192.62569444445</v>
      </c>
      <c r="M204" s="12" t="n">
        <v>0</v>
      </c>
      <c r="N204" s="14">
        <f>IF(OR(K204="",L204=""),"",ROUND((L204-K204)*1440-N(M204),1))</f>
        <v/>
      </c>
      <c r="O204" s="17" t="n"/>
      <c r="P204" s="17" t="n"/>
      <c r="Q204" s="14">
        <f>IF(OR(O204="",P204=""),"",ROUND((P204-O204)*1440,1))</f>
        <v/>
      </c>
      <c r="R204" s="12" t="n"/>
      <c r="S204" s="12" t="inlineStr">
        <is>
          <t>Complete</t>
        </is>
      </c>
      <c r="T204" s="12" t="n"/>
      <c r="U204" s="12" t="n"/>
    </row>
    <row r="205">
      <c r="A205" s="10" t="inlineStr">
        <is>
          <t>OBS-201</t>
        </is>
      </c>
      <c r="B205" s="16" t="n">
        <v>46195</v>
      </c>
      <c r="C205" s="12" t="inlineStr">
        <is>
          <t>OP-001</t>
        </is>
      </c>
      <c r="D205" s="12" t="inlineStr">
        <is>
          <t>OBS-001</t>
        </is>
      </c>
      <c r="E205" s="10" t="inlineStr">
        <is>
          <t>Manual</t>
        </is>
      </c>
      <c r="F205" s="10" t="inlineStr">
        <is>
          <t>Heat exchanger</t>
        </is>
      </c>
      <c r="G205" s="10" t="inlineStr">
        <is>
          <t>HX_01</t>
        </is>
      </c>
      <c r="H205" s="10" t="n">
        <v>1</v>
      </c>
      <c r="I205" s="10" t="n">
        <v>1</v>
      </c>
      <c r="J205" s="10" t="inlineStr">
        <is>
          <t>Data loading and semantic mapping</t>
        </is>
      </c>
      <c r="K205" s="17" t="n">
        <v>46195.35069444445</v>
      </c>
      <c r="L205" s="17" t="n">
        <v>46195.37013888889</v>
      </c>
      <c r="M205" s="12" t="n">
        <v>0</v>
      </c>
      <c r="N205" s="14">
        <f>IF(OR(K205="",L205=""),"",ROUND((L205-K205)*1440-N(M205),1))</f>
        <v/>
      </c>
      <c r="O205" s="17" t="n"/>
      <c r="P205" s="17" t="n"/>
      <c r="Q205" s="14">
        <f>IF(OR(O205="",P205=""),"",ROUND((P205-O205)*1440,1))</f>
        <v/>
      </c>
      <c r="R205" s="12" t="n"/>
      <c r="S205" s="12" t="inlineStr">
        <is>
          <t>Complete</t>
        </is>
      </c>
      <c r="T205" s="12" t="n"/>
      <c r="U205" s="12" t="n"/>
    </row>
    <row r="206">
      <c r="A206" s="10" t="inlineStr">
        <is>
          <t>OBS-202</t>
        </is>
      </c>
      <c r="B206" s="16" t="n">
        <v>46195</v>
      </c>
      <c r="C206" s="12" t="inlineStr">
        <is>
          <t>OP-001</t>
        </is>
      </c>
      <c r="D206" s="12" t="inlineStr">
        <is>
          <t>OBS-001</t>
        </is>
      </c>
      <c r="E206" s="10" t="inlineStr">
        <is>
          <t>Manual</t>
        </is>
      </c>
      <c r="F206" s="10" t="inlineStr">
        <is>
          <t>Heat exchanger</t>
        </is>
      </c>
      <c r="G206" s="10" t="inlineStr">
        <is>
          <t>HX_01</t>
        </is>
      </c>
      <c r="H206" s="10" t="n">
        <v>1</v>
      </c>
      <c r="I206" s="10" t="n">
        <v>2</v>
      </c>
      <c r="J206" s="10" t="inlineStr">
        <is>
          <t>Valid model input table preparation</t>
        </is>
      </c>
      <c r="K206" s="17" t="n">
        <v>46195.375</v>
      </c>
      <c r="L206" s="17" t="n">
        <v>46195.39930555555</v>
      </c>
      <c r="M206" s="12" t="n">
        <v>0</v>
      </c>
      <c r="N206" s="14">
        <f>IF(OR(K206="",L206=""),"",ROUND((L206-K206)*1440-N(M206),1))</f>
        <v/>
      </c>
      <c r="O206" s="17" t="n"/>
      <c r="P206" s="17" t="n"/>
      <c r="Q206" s="14">
        <f>IF(OR(O206="",P206=""),"",ROUND((P206-O206)*1440,1))</f>
        <v/>
      </c>
      <c r="R206" s="12" t="n"/>
      <c r="S206" s="12" t="inlineStr">
        <is>
          <t>Complete</t>
        </is>
      </c>
      <c r="T206" s="12" t="n"/>
      <c r="U206" s="12" t="n"/>
    </row>
    <row r="207">
      <c r="A207" s="10" t="inlineStr">
        <is>
          <t>OBS-203</t>
        </is>
      </c>
      <c r="B207" s="16" t="n">
        <v>46195</v>
      </c>
      <c r="C207" s="12" t="inlineStr">
        <is>
          <t>OP-001</t>
        </is>
      </c>
      <c r="D207" s="12" t="inlineStr">
        <is>
          <t>OBS-001</t>
        </is>
      </c>
      <c r="E207" s="10" t="inlineStr">
        <is>
          <t>Manual</t>
        </is>
      </c>
      <c r="F207" s="10" t="inlineStr">
        <is>
          <t>Heat exchanger</t>
        </is>
      </c>
      <c r="G207" s="10" t="inlineStr">
        <is>
          <t>HX_01</t>
        </is>
      </c>
      <c r="H207" s="10" t="n">
        <v>1</v>
      </c>
      <c r="I207" s="10" t="n">
        <v>3</v>
      </c>
      <c r="J207" s="10" t="inlineStr">
        <is>
          <t>Modelica/FMU candidate setup</t>
        </is>
      </c>
      <c r="K207" s="17" t="n">
        <v>46195.40555555555</v>
      </c>
      <c r="L207" s="17" t="n">
        <v>46195.43611111111</v>
      </c>
      <c r="M207" s="12" t="n">
        <v>4</v>
      </c>
      <c r="N207" s="14">
        <f>IF(OR(K207="",L207=""),"",ROUND((L207-K207)*1440-N(M207),1))</f>
        <v/>
      </c>
      <c r="O207" s="17" t="n"/>
      <c r="P207" s="17" t="n"/>
      <c r="Q207" s="14">
        <f>IF(OR(O207="",P207=""),"",ROUND((P207-O207)*1440,1))</f>
        <v/>
      </c>
      <c r="R207" s="12" t="n"/>
      <c r="S207" s="12" t="inlineStr">
        <is>
          <t>Complete</t>
        </is>
      </c>
      <c r="T207" s="12" t="n"/>
      <c r="U207" s="12" t="n"/>
    </row>
    <row r="208">
      <c r="A208" s="10" t="inlineStr">
        <is>
          <t>OBS-204</t>
        </is>
      </c>
      <c r="B208" s="16" t="n">
        <v>46195</v>
      </c>
      <c r="C208" s="12" t="inlineStr">
        <is>
          <t>OP-001</t>
        </is>
      </c>
      <c r="D208" s="12" t="inlineStr">
        <is>
          <t>OBS-001</t>
        </is>
      </c>
      <c r="E208" s="10" t="inlineStr">
        <is>
          <t>Manual</t>
        </is>
      </c>
      <c r="F208" s="10" t="inlineStr">
        <is>
          <t>Heat exchanger</t>
        </is>
      </c>
      <c r="G208" s="10" t="inlineStr">
        <is>
          <t>HX_01</t>
        </is>
      </c>
      <c r="H208" s="10" t="n">
        <v>1</v>
      </c>
      <c r="I208" s="10" t="n">
        <v>4</v>
      </c>
      <c r="J208" s="10" t="inlineStr">
        <is>
          <t>FMU parameter search</t>
        </is>
      </c>
      <c r="K208" s="17" t="n">
        <v>46195.43888888889</v>
      </c>
      <c r="L208" s="17" t="n">
        <v>46195.49236111111</v>
      </c>
      <c r="M208" s="12" t="n">
        <v>7</v>
      </c>
      <c r="N208" s="14">
        <f>IF(OR(K208="",L208=""),"",ROUND((L208-K208)*1440-N(M208),1))</f>
        <v/>
      </c>
      <c r="O208" s="17" t="n"/>
      <c r="P208" s="17" t="n"/>
      <c r="Q208" s="14">
        <f>IF(OR(O208="",P208=""),"",ROUND((P208-O208)*1440,1))</f>
        <v/>
      </c>
      <c r="R208" s="12" t="n"/>
      <c r="S208" s="12" t="inlineStr">
        <is>
          <t>Complete</t>
        </is>
      </c>
      <c r="T208" s="12" t="n"/>
      <c r="U208" s="12" t="n"/>
    </row>
    <row r="209">
      <c r="A209" s="10" t="inlineStr">
        <is>
          <t>OBS-205</t>
        </is>
      </c>
      <c r="B209" s="16" t="n">
        <v>46195</v>
      </c>
      <c r="C209" s="12" t="inlineStr">
        <is>
          <t>OP-001</t>
        </is>
      </c>
      <c r="D209" s="12" t="inlineStr">
        <is>
          <t>OBS-001</t>
        </is>
      </c>
      <c r="E209" s="10" t="inlineStr">
        <is>
          <t>Manual</t>
        </is>
      </c>
      <c r="F209" s="10" t="inlineStr">
        <is>
          <t>Heat exchanger</t>
        </is>
      </c>
      <c r="G209" s="10" t="inlineStr">
        <is>
          <t>HX_01</t>
        </is>
      </c>
      <c r="H209" s="10" t="n">
        <v>1</v>
      </c>
      <c r="I209" s="10" t="n">
        <v>5</v>
      </c>
      <c r="J209" s="10" t="inlineStr">
        <is>
          <t>Full-period refinement and validation</t>
        </is>
      </c>
      <c r="K209" s="17" t="n">
        <v>46195.56111111111</v>
      </c>
      <c r="L209" s="17" t="n">
        <v>46195.59583333333</v>
      </c>
      <c r="M209" s="12" t="n">
        <v>0</v>
      </c>
      <c r="N209" s="14">
        <f>IF(OR(K209="",L209=""),"",ROUND((L209-K209)*1440-N(M209),1))</f>
        <v/>
      </c>
      <c r="O209" s="17" t="n"/>
      <c r="P209" s="17" t="n"/>
      <c r="Q209" s="14">
        <f>IF(OR(O209="",P209=""),"",ROUND((P209-O209)*1440,1))</f>
        <v/>
      </c>
      <c r="R209" s="12" t="n"/>
      <c r="S209" s="12" t="inlineStr">
        <is>
          <t>Complete</t>
        </is>
      </c>
      <c r="T209" s="12" t="n"/>
      <c r="U209" s="12" t="n"/>
    </row>
    <row r="210">
      <c r="A210" s="10" t="inlineStr">
        <is>
          <t>OBS-206</t>
        </is>
      </c>
      <c r="B210" s="16" t="n">
        <v>46195</v>
      </c>
      <c r="C210" s="12" t="inlineStr">
        <is>
          <t>OP-001</t>
        </is>
      </c>
      <c r="D210" s="12" t="inlineStr">
        <is>
          <t>OBS-001</t>
        </is>
      </c>
      <c r="E210" s="10" t="inlineStr">
        <is>
          <t>Manual</t>
        </is>
      </c>
      <c r="F210" s="10" t="inlineStr">
        <is>
          <t>Heat exchanger</t>
        </is>
      </c>
      <c r="G210" s="10" t="inlineStr">
        <is>
          <t>HX_01</t>
        </is>
      </c>
      <c r="H210" s="10" t="n">
        <v>1</v>
      </c>
      <c r="I210" s="10" t="n">
        <v>6</v>
      </c>
      <c r="J210" s="10" t="inlineStr">
        <is>
          <t>Paper tables and figures</t>
        </is>
      </c>
      <c r="K210" s="17" t="n">
        <v>46195.59930555556</v>
      </c>
      <c r="L210" s="17" t="n">
        <v>46195.61666666667</v>
      </c>
      <c r="M210" s="12" t="n">
        <v>0</v>
      </c>
      <c r="N210" s="14">
        <f>IF(OR(K210="",L210=""),"",ROUND((L210-K210)*1440-N(M210),1))</f>
        <v/>
      </c>
      <c r="O210" s="17" t="n"/>
      <c r="P210" s="17" t="n"/>
      <c r="Q210" s="14">
        <f>IF(OR(O210="",P210=""),"",ROUND((P210-O210)*1440,1))</f>
        <v/>
      </c>
      <c r="R210" s="12" t="n"/>
      <c r="S210" s="12" t="inlineStr">
        <is>
          <t>Complete</t>
        </is>
      </c>
      <c r="T210" s="12" t="n"/>
      <c r="U210" s="12" t="n"/>
    </row>
    <row r="211">
      <c r="A211" s="10" t="inlineStr">
        <is>
          <t>OBS-207</t>
        </is>
      </c>
      <c r="B211" s="16" t="n">
        <v>46195</v>
      </c>
      <c r="C211" s="12" t="inlineStr">
        <is>
          <t>OP-001</t>
        </is>
      </c>
      <c r="D211" s="12" t="inlineStr">
        <is>
          <t>OBS-001</t>
        </is>
      </c>
      <c r="E211" s="10" t="inlineStr">
        <is>
          <t>Manual</t>
        </is>
      </c>
      <c r="F211" s="10" t="inlineStr">
        <is>
          <t>Heat exchanger</t>
        </is>
      </c>
      <c r="G211" s="10" t="inlineStr">
        <is>
          <t>HX_01</t>
        </is>
      </c>
      <c r="H211" s="10" t="n">
        <v>1</v>
      </c>
      <c r="I211" s="15" t="n">
        <v>7</v>
      </c>
      <c r="J211" s="15" t="inlineStr">
        <is>
          <t>Observability and evidence-grade review</t>
        </is>
      </c>
      <c r="K211" s="17" t="n">
        <v>46195.62291666667</v>
      </c>
      <c r="L211" s="17" t="n">
        <v>46195.65208333333</v>
      </c>
      <c r="M211" s="12" t="n">
        <v>2</v>
      </c>
      <c r="N211" s="14">
        <f>IF(OR(K211="",L211=""),"",ROUND((L211-K211)*1440-N(M211),1))</f>
        <v/>
      </c>
      <c r="O211" s="17" t="n"/>
      <c r="P211" s="17" t="n"/>
      <c r="Q211" s="14">
        <f>IF(OR(O211="",P211=""),"",ROUND((P211-O211)*1440,1))</f>
        <v/>
      </c>
      <c r="R211" s="12" t="n"/>
      <c r="S211" s="12" t="inlineStr">
        <is>
          <t>Complete</t>
        </is>
      </c>
      <c r="T211" s="12" t="n"/>
      <c r="U211" s="12" t="n"/>
    </row>
    <row r="212">
      <c r="A212" s="10" t="inlineStr">
        <is>
          <t>OBS-208</t>
        </is>
      </c>
      <c r="B212" s="16" t="n">
        <v>46195</v>
      </c>
      <c r="C212" s="12" t="inlineStr">
        <is>
          <t>OP-001</t>
        </is>
      </c>
      <c r="D212" s="12" t="inlineStr">
        <is>
          <t>OBS-001</t>
        </is>
      </c>
      <c r="E212" s="10" t="inlineStr">
        <is>
          <t>Manual</t>
        </is>
      </c>
      <c r="F212" s="10" t="inlineStr">
        <is>
          <t>Heat exchanger</t>
        </is>
      </c>
      <c r="G212" s="10" t="inlineStr">
        <is>
          <t>HX_01</t>
        </is>
      </c>
      <c r="H212" s="10" t="n">
        <v>1</v>
      </c>
      <c r="I212" s="15" t="n">
        <v>8</v>
      </c>
      <c r="J212" s="15" t="inlineStr">
        <is>
          <t>Temporal split definition and audit</t>
        </is>
      </c>
      <c r="K212" s="17" t="n">
        <v>46195.65555555555</v>
      </c>
      <c r="L212" s="17" t="n">
        <v>46195.67638888889</v>
      </c>
      <c r="M212" s="12" t="n">
        <v>0</v>
      </c>
      <c r="N212" s="14">
        <f>IF(OR(K212="",L212=""),"",ROUND((L212-K212)*1440-N(M212),1))</f>
        <v/>
      </c>
      <c r="O212" s="17" t="n"/>
      <c r="P212" s="17" t="n"/>
      <c r="Q212" s="14">
        <f>IF(OR(O212="",P212=""),"",ROUND((P212-O212)*1440,1))</f>
        <v/>
      </c>
      <c r="R212" s="12" t="n"/>
      <c r="S212" s="12" t="inlineStr">
        <is>
          <t>Complete</t>
        </is>
      </c>
      <c r="T212" s="12" t="n"/>
      <c r="U212" s="12" t="n"/>
    </row>
    <row r="213">
      <c r="A213" s="10" t="inlineStr">
        <is>
          <t>OBS-209</t>
        </is>
      </c>
      <c r="B213" s="16" t="n">
        <v>46195</v>
      </c>
      <c r="C213" s="12" t="inlineStr">
        <is>
          <t>OP-001</t>
        </is>
      </c>
      <c r="D213" s="12" t="inlineStr">
        <is>
          <t>OBS-001</t>
        </is>
      </c>
      <c r="E213" s="10" t="inlineStr">
        <is>
          <t>Manual</t>
        </is>
      </c>
      <c r="F213" s="10" t="inlineStr">
        <is>
          <t>Heat exchanger</t>
        </is>
      </c>
      <c r="G213" s="10" t="inlineStr">
        <is>
          <t>HX_02</t>
        </is>
      </c>
      <c r="H213" s="10" t="n">
        <v>2</v>
      </c>
      <c r="I213" s="10" t="n">
        <v>1</v>
      </c>
      <c r="J213" s="10" t="inlineStr">
        <is>
          <t>Data loading and semantic mapping</t>
        </is>
      </c>
      <c r="K213" s="17" t="n">
        <v>46195.68263888889</v>
      </c>
      <c r="L213" s="17" t="n">
        <v>46195.69861111111</v>
      </c>
      <c r="M213" s="12" t="n">
        <v>0</v>
      </c>
      <c r="N213" s="14">
        <f>IF(OR(K213="",L213=""),"",ROUND((L213-K213)*1440-N(M213),1))</f>
        <v/>
      </c>
      <c r="O213" s="17" t="n"/>
      <c r="P213" s="17" t="n"/>
      <c r="Q213" s="14">
        <f>IF(OR(O213="",P213=""),"",ROUND((P213-O213)*1440,1))</f>
        <v/>
      </c>
      <c r="R213" s="12" t="n"/>
      <c r="S213" s="12" t="inlineStr">
        <is>
          <t>Complete</t>
        </is>
      </c>
      <c r="T213" s="12" t="n"/>
      <c r="U213" s="12" t="n"/>
    </row>
    <row r="214">
      <c r="A214" s="10" t="inlineStr">
        <is>
          <t>OBS-210</t>
        </is>
      </c>
      <c r="B214" s="16" t="n">
        <v>46195</v>
      </c>
      <c r="C214" s="12" t="inlineStr">
        <is>
          <t>OP-001</t>
        </is>
      </c>
      <c r="D214" s="12" t="inlineStr">
        <is>
          <t>OBS-001</t>
        </is>
      </c>
      <c r="E214" s="10" t="inlineStr">
        <is>
          <t>Manual</t>
        </is>
      </c>
      <c r="F214" s="10" t="inlineStr">
        <is>
          <t>Heat exchanger</t>
        </is>
      </c>
      <c r="G214" s="10" t="inlineStr">
        <is>
          <t>HX_02</t>
        </is>
      </c>
      <c r="H214" s="10" t="n">
        <v>2</v>
      </c>
      <c r="I214" s="10" t="n">
        <v>2</v>
      </c>
      <c r="J214" s="10" t="inlineStr">
        <is>
          <t>Valid model input table preparation</t>
        </is>
      </c>
      <c r="K214" s="17" t="n">
        <v>46195.70208333333</v>
      </c>
      <c r="L214" s="17" t="n">
        <v>46195.72152777778</v>
      </c>
      <c r="M214" s="12" t="n">
        <v>0</v>
      </c>
      <c r="N214" s="14">
        <f>IF(OR(K214="",L214=""),"",ROUND((L214-K214)*1440-N(M214),1))</f>
        <v/>
      </c>
      <c r="O214" s="17" t="n"/>
      <c r="P214" s="17" t="n"/>
      <c r="Q214" s="14">
        <f>IF(OR(O214="",P214=""),"",ROUND((P214-O214)*1440,1))</f>
        <v/>
      </c>
      <c r="R214" s="12" t="n"/>
      <c r="S214" s="12" t="inlineStr">
        <is>
          <t>Complete</t>
        </is>
      </c>
      <c r="T214" s="12" t="n"/>
      <c r="U214" s="12" t="n"/>
    </row>
    <row r="215">
      <c r="A215" s="10" t="inlineStr">
        <is>
          <t>OBS-211</t>
        </is>
      </c>
      <c r="B215" s="16" t="n">
        <v>46196</v>
      </c>
      <c r="C215" s="12" t="inlineStr">
        <is>
          <t>OP-001</t>
        </is>
      </c>
      <c r="D215" s="12" t="inlineStr">
        <is>
          <t>OBS-001</t>
        </is>
      </c>
      <c r="E215" s="10" t="inlineStr">
        <is>
          <t>Manual</t>
        </is>
      </c>
      <c r="F215" s="10" t="inlineStr">
        <is>
          <t>Heat exchanger</t>
        </is>
      </c>
      <c r="G215" s="10" t="inlineStr">
        <is>
          <t>HX_02</t>
        </is>
      </c>
      <c r="H215" s="10" t="n">
        <v>2</v>
      </c>
      <c r="I215" s="10" t="n">
        <v>3</v>
      </c>
      <c r="J215" s="10" t="inlineStr">
        <is>
          <t>Modelica/FMU candidate setup</t>
        </is>
      </c>
      <c r="K215" s="17" t="n">
        <v>46196.35</v>
      </c>
      <c r="L215" s="17" t="n">
        <v>46196.37222222222</v>
      </c>
      <c r="M215" s="12" t="n">
        <v>0</v>
      </c>
      <c r="N215" s="14">
        <f>IF(OR(K215="",L215=""),"",ROUND((L215-K215)*1440-N(M215),1))</f>
        <v/>
      </c>
      <c r="O215" s="17" t="n"/>
      <c r="P215" s="17" t="n"/>
      <c r="Q215" s="14">
        <f>IF(OR(O215="",P215=""),"",ROUND((P215-O215)*1440,1))</f>
        <v/>
      </c>
      <c r="R215" s="12" t="n"/>
      <c r="S215" s="12" t="inlineStr">
        <is>
          <t>Complete</t>
        </is>
      </c>
      <c r="T215" s="12" t="n"/>
      <c r="U215" s="12" t="n"/>
    </row>
    <row r="216">
      <c r="A216" s="10" t="inlineStr">
        <is>
          <t>OBS-212</t>
        </is>
      </c>
      <c r="B216" s="16" t="n">
        <v>46196</v>
      </c>
      <c r="C216" s="12" t="inlineStr">
        <is>
          <t>OP-001</t>
        </is>
      </c>
      <c r="D216" s="12" t="inlineStr">
        <is>
          <t>OBS-001</t>
        </is>
      </c>
      <c r="E216" s="10" t="inlineStr">
        <is>
          <t>Manual</t>
        </is>
      </c>
      <c r="F216" s="10" t="inlineStr">
        <is>
          <t>Heat exchanger</t>
        </is>
      </c>
      <c r="G216" s="10" t="inlineStr">
        <is>
          <t>HX_02</t>
        </is>
      </c>
      <c r="H216" s="10" t="n">
        <v>2</v>
      </c>
      <c r="I216" s="10" t="n">
        <v>4</v>
      </c>
      <c r="J216" s="10" t="inlineStr">
        <is>
          <t>FMU parameter search</t>
        </is>
      </c>
      <c r="K216" s="17" t="n">
        <v>46196.37430555555</v>
      </c>
      <c r="L216" s="17" t="n">
        <v>46196.4125</v>
      </c>
      <c r="M216" s="12" t="n">
        <v>0</v>
      </c>
      <c r="N216" s="14">
        <f>IF(OR(K216="",L216=""),"",ROUND((L216-K216)*1440-N(M216),1))</f>
        <v/>
      </c>
      <c r="O216" s="17" t="n"/>
      <c r="P216" s="17" t="n"/>
      <c r="Q216" s="14">
        <f>IF(OR(O216="",P216=""),"",ROUND((P216-O216)*1440,1))</f>
        <v/>
      </c>
      <c r="R216" s="12" t="n"/>
      <c r="S216" s="12" t="inlineStr">
        <is>
          <t>Complete</t>
        </is>
      </c>
      <c r="T216" s="12" t="n"/>
      <c r="U216" s="12" t="n"/>
    </row>
    <row r="217">
      <c r="A217" s="10" t="inlineStr">
        <is>
          <t>OBS-213</t>
        </is>
      </c>
      <c r="B217" s="16" t="n">
        <v>46196</v>
      </c>
      <c r="C217" s="12" t="inlineStr">
        <is>
          <t>OP-001</t>
        </is>
      </c>
      <c r="D217" s="12" t="inlineStr">
        <is>
          <t>OBS-001</t>
        </is>
      </c>
      <c r="E217" s="10" t="inlineStr">
        <is>
          <t>Manual</t>
        </is>
      </c>
      <c r="F217" s="10" t="inlineStr">
        <is>
          <t>Heat exchanger</t>
        </is>
      </c>
      <c r="G217" s="10" t="inlineStr">
        <is>
          <t>HX_02</t>
        </is>
      </c>
      <c r="H217" s="10" t="n">
        <v>2</v>
      </c>
      <c r="I217" s="10" t="n">
        <v>5</v>
      </c>
      <c r="J217" s="10" t="inlineStr">
        <is>
          <t>Full-period refinement and validation</t>
        </is>
      </c>
      <c r="K217" s="17" t="n">
        <v>46196.41736111111</v>
      </c>
      <c r="L217" s="17" t="n">
        <v>46196.44513888889</v>
      </c>
      <c r="M217" s="12" t="n">
        <v>0</v>
      </c>
      <c r="N217" s="14">
        <f>IF(OR(K217="",L217=""),"",ROUND((L217-K217)*1440-N(M217),1))</f>
        <v/>
      </c>
      <c r="O217" s="17" t="n"/>
      <c r="P217" s="17" t="n"/>
      <c r="Q217" s="14">
        <f>IF(OR(O217="",P217=""),"",ROUND((P217-O217)*1440,1))</f>
        <v/>
      </c>
      <c r="R217" s="12" t="n"/>
      <c r="S217" s="12" t="inlineStr">
        <is>
          <t>Complete</t>
        </is>
      </c>
      <c r="T217" s="12" t="n"/>
      <c r="U217" s="12" t="n"/>
    </row>
    <row r="218">
      <c r="A218" s="10" t="inlineStr">
        <is>
          <t>OBS-214</t>
        </is>
      </c>
      <c r="B218" s="16" t="n">
        <v>46196</v>
      </c>
      <c r="C218" s="12" t="inlineStr">
        <is>
          <t>OP-001</t>
        </is>
      </c>
      <c r="D218" s="12" t="inlineStr">
        <is>
          <t>OBS-001</t>
        </is>
      </c>
      <c r="E218" s="10" t="inlineStr">
        <is>
          <t>Manual</t>
        </is>
      </c>
      <c r="F218" s="10" t="inlineStr">
        <is>
          <t>Heat exchanger</t>
        </is>
      </c>
      <c r="G218" s="10" t="inlineStr">
        <is>
          <t>HX_02</t>
        </is>
      </c>
      <c r="H218" s="10" t="n">
        <v>2</v>
      </c>
      <c r="I218" s="10" t="n">
        <v>6</v>
      </c>
      <c r="J218" s="10" t="inlineStr">
        <is>
          <t>Paper tables and figures</t>
        </is>
      </c>
      <c r="K218" s="17" t="n">
        <v>46196.44722222222</v>
      </c>
      <c r="L218" s="17" t="n">
        <v>46196.46111111111</v>
      </c>
      <c r="M218" s="12" t="n">
        <v>0</v>
      </c>
      <c r="N218" s="14">
        <f>IF(OR(K218="",L218=""),"",ROUND((L218-K218)*1440-N(M218),1))</f>
        <v/>
      </c>
      <c r="O218" s="17" t="n"/>
      <c r="P218" s="17" t="n"/>
      <c r="Q218" s="14">
        <f>IF(OR(O218="",P218=""),"",ROUND((P218-O218)*1440,1))</f>
        <v/>
      </c>
      <c r="R218" s="12" t="n"/>
      <c r="S218" s="12" t="inlineStr">
        <is>
          <t>Complete</t>
        </is>
      </c>
      <c r="T218" s="12" t="n"/>
      <c r="U218" s="12" t="n"/>
    </row>
    <row r="219">
      <c r="A219" s="10" t="inlineStr">
        <is>
          <t>OBS-215</t>
        </is>
      </c>
      <c r="B219" s="16" t="n">
        <v>46196</v>
      </c>
      <c r="C219" s="12" t="inlineStr">
        <is>
          <t>OP-001</t>
        </is>
      </c>
      <c r="D219" s="12" t="inlineStr">
        <is>
          <t>OBS-001</t>
        </is>
      </c>
      <c r="E219" s="10" t="inlineStr">
        <is>
          <t>Manual</t>
        </is>
      </c>
      <c r="F219" s="10" t="inlineStr">
        <is>
          <t>Heat exchanger</t>
        </is>
      </c>
      <c r="G219" s="10" t="inlineStr">
        <is>
          <t>HX_02</t>
        </is>
      </c>
      <c r="H219" s="10" t="n">
        <v>2</v>
      </c>
      <c r="I219" s="15" t="n">
        <v>7</v>
      </c>
      <c r="J219" s="15" t="inlineStr">
        <is>
          <t>Observability and evidence-grade review</t>
        </is>
      </c>
      <c r="K219" s="17" t="n">
        <v>46196.46805555555</v>
      </c>
      <c r="L219" s="17" t="n">
        <v>46196.49027777778</v>
      </c>
      <c r="M219" s="12" t="n">
        <v>0</v>
      </c>
      <c r="N219" s="14">
        <f>IF(OR(K219="",L219=""),"",ROUND((L219-K219)*1440-N(M219),1))</f>
        <v/>
      </c>
      <c r="O219" s="17" t="n"/>
      <c r="P219" s="17" t="n"/>
      <c r="Q219" s="14">
        <f>IF(OR(O219="",P219=""),"",ROUND((P219-O219)*1440,1))</f>
        <v/>
      </c>
      <c r="R219" s="12" t="n"/>
      <c r="S219" s="12" t="inlineStr">
        <is>
          <t>Complete</t>
        </is>
      </c>
      <c r="T219" s="12" t="n"/>
      <c r="U219" s="12" t="n"/>
    </row>
    <row r="220">
      <c r="A220" s="10" t="inlineStr">
        <is>
          <t>OBS-216</t>
        </is>
      </c>
      <c r="B220" s="16" t="n">
        <v>46196</v>
      </c>
      <c r="C220" s="12" t="inlineStr">
        <is>
          <t>OP-001</t>
        </is>
      </c>
      <c r="D220" s="12" t="inlineStr">
        <is>
          <t>OBS-001</t>
        </is>
      </c>
      <c r="E220" s="10" t="inlineStr">
        <is>
          <t>Manual</t>
        </is>
      </c>
      <c r="F220" s="10" t="inlineStr">
        <is>
          <t>Heat exchanger</t>
        </is>
      </c>
      <c r="G220" s="10" t="inlineStr">
        <is>
          <t>HX_02</t>
        </is>
      </c>
      <c r="H220" s="10" t="n">
        <v>2</v>
      </c>
      <c r="I220" s="15" t="n">
        <v>8</v>
      </c>
      <c r="J220" s="15" t="inlineStr">
        <is>
          <t>Temporal split definition and audit</t>
        </is>
      </c>
      <c r="K220" s="17" t="n">
        <v>46196.56111111111</v>
      </c>
      <c r="L220" s="17" t="n">
        <v>46196.57777777778</v>
      </c>
      <c r="M220" s="12" t="n">
        <v>0</v>
      </c>
      <c r="N220" s="14">
        <f>IF(OR(K220="",L220=""),"",ROUND((L220-K220)*1440-N(M220),1))</f>
        <v/>
      </c>
      <c r="O220" s="17" t="n"/>
      <c r="P220" s="17" t="n"/>
      <c r="Q220" s="14">
        <f>IF(OR(O220="",P220=""),"",ROUND((P220-O220)*1440,1))</f>
        <v/>
      </c>
      <c r="R220" s="12" t="n"/>
      <c r="S220" s="12" t="inlineStr">
        <is>
          <t>Complete</t>
        </is>
      </c>
      <c r="T220" s="12" t="n"/>
      <c r="U220" s="12" t="n"/>
    </row>
    <row r="221">
      <c r="A221" s="10" t="inlineStr">
        <is>
          <t>OBS-217</t>
        </is>
      </c>
      <c r="B221" s="16" t="n">
        <v>46196</v>
      </c>
      <c r="C221" s="12" t="inlineStr">
        <is>
          <t>OP-001</t>
        </is>
      </c>
      <c r="D221" s="12" t="inlineStr">
        <is>
          <t>OBS-001</t>
        </is>
      </c>
      <c r="E221" s="10" t="inlineStr">
        <is>
          <t>Manual</t>
        </is>
      </c>
      <c r="F221" s="10" t="inlineStr">
        <is>
          <t>Heat exchanger</t>
        </is>
      </c>
      <c r="G221" s="10" t="inlineStr">
        <is>
          <t>HX_03</t>
        </is>
      </c>
      <c r="H221" s="10" t="n">
        <v>3</v>
      </c>
      <c r="I221" s="10" t="n">
        <v>1</v>
      </c>
      <c r="J221" s="10" t="inlineStr">
        <is>
          <t>Data loading and semantic mapping</t>
        </is>
      </c>
      <c r="K221" s="17" t="n">
        <v>46196.58333333334</v>
      </c>
      <c r="L221" s="17" t="n">
        <v>46196.59861111111</v>
      </c>
      <c r="M221" s="12" t="n">
        <v>0</v>
      </c>
      <c r="N221" s="14">
        <f>IF(OR(K221="",L221=""),"",ROUND((L221-K221)*1440-N(M221),1))</f>
        <v/>
      </c>
      <c r="O221" s="17" t="n"/>
      <c r="P221" s="17" t="n"/>
      <c r="Q221" s="14">
        <f>IF(OR(O221="",P221=""),"",ROUND((P221-O221)*1440,1))</f>
        <v/>
      </c>
      <c r="R221" s="12" t="n"/>
      <c r="S221" s="12" t="inlineStr">
        <is>
          <t>Complete</t>
        </is>
      </c>
      <c r="T221" s="12" t="n"/>
      <c r="U221" s="12" t="n"/>
    </row>
    <row r="222">
      <c r="A222" s="10" t="inlineStr">
        <is>
          <t>OBS-218</t>
        </is>
      </c>
      <c r="B222" s="16" t="n">
        <v>46196</v>
      </c>
      <c r="C222" s="12" t="inlineStr">
        <is>
          <t>OP-001</t>
        </is>
      </c>
      <c r="D222" s="12" t="inlineStr">
        <is>
          <t>OBS-001</t>
        </is>
      </c>
      <c r="E222" s="10" t="inlineStr">
        <is>
          <t>Manual</t>
        </is>
      </c>
      <c r="F222" s="10" t="inlineStr">
        <is>
          <t>Heat exchanger</t>
        </is>
      </c>
      <c r="G222" s="10" t="inlineStr">
        <is>
          <t>HX_03</t>
        </is>
      </c>
      <c r="H222" s="10" t="n">
        <v>3</v>
      </c>
      <c r="I222" s="10" t="n">
        <v>2</v>
      </c>
      <c r="J222" s="10" t="inlineStr">
        <is>
          <t>Valid model input table preparation</t>
        </is>
      </c>
      <c r="K222" s="17" t="n">
        <v>46196.60138888889</v>
      </c>
      <c r="L222" s="17" t="n">
        <v>46196.62083333333</v>
      </c>
      <c r="M222" s="12" t="n">
        <v>0</v>
      </c>
      <c r="N222" s="14">
        <f>IF(OR(K222="",L222=""),"",ROUND((L222-K222)*1440-N(M222),1))</f>
        <v/>
      </c>
      <c r="O222" s="17" t="n"/>
      <c r="P222" s="17" t="n"/>
      <c r="Q222" s="14">
        <f>IF(OR(O222="",P222=""),"",ROUND((P222-O222)*1440,1))</f>
        <v/>
      </c>
      <c r="R222" s="12" t="n"/>
      <c r="S222" s="12" t="inlineStr">
        <is>
          <t>Complete</t>
        </is>
      </c>
      <c r="T222" s="12" t="n"/>
      <c r="U222" s="12" t="n"/>
    </row>
    <row r="223">
      <c r="A223" s="10" t="inlineStr">
        <is>
          <t>OBS-219</t>
        </is>
      </c>
      <c r="B223" s="16" t="n"/>
      <c r="C223" s="12" t="n"/>
      <c r="D223" s="12" t="n"/>
      <c r="E223" s="10" t="inlineStr">
        <is>
          <t>Manual</t>
        </is>
      </c>
      <c r="F223" s="10" t="inlineStr">
        <is>
          <t>Heat exchanger</t>
        </is>
      </c>
      <c r="G223" s="10" t="inlineStr">
        <is>
          <t>HX_03</t>
        </is>
      </c>
      <c r="H223" s="10" t="n">
        <v>3</v>
      </c>
      <c r="I223" s="10" t="n">
        <v>3</v>
      </c>
      <c r="J223" s="10" t="inlineStr">
        <is>
          <t>Modelica/FMU candidate setup</t>
        </is>
      </c>
      <c r="K223" s="17" t="n"/>
      <c r="L223" s="17" t="n"/>
      <c r="M223" s="12" t="n">
        <v>0</v>
      </c>
      <c r="N223" s="14">
        <f>IF(OR(K223="",L223=""),"",ROUND((L223-K223)*1440-N(M223),1))</f>
        <v/>
      </c>
      <c r="O223" s="17" t="n"/>
      <c r="P223" s="17" t="n"/>
      <c r="Q223" s="14">
        <f>IF(OR(O223="",P223=""),"",ROUND((P223-O223)*1440,1))</f>
        <v/>
      </c>
      <c r="R223" s="12" t="n"/>
      <c r="S223" s="12" t="inlineStr">
        <is>
          <t>Not started</t>
        </is>
      </c>
      <c r="T223" s="12" t="n"/>
      <c r="U223" s="12" t="n"/>
    </row>
    <row r="224">
      <c r="A224" s="10" t="inlineStr">
        <is>
          <t>OBS-220</t>
        </is>
      </c>
      <c r="B224" s="16" t="n"/>
      <c r="C224" s="12" t="n"/>
      <c r="D224" s="12" t="n"/>
      <c r="E224" s="10" t="inlineStr">
        <is>
          <t>Manual</t>
        </is>
      </c>
      <c r="F224" s="10" t="inlineStr">
        <is>
          <t>Heat exchanger</t>
        </is>
      </c>
      <c r="G224" s="10" t="inlineStr">
        <is>
          <t>HX_03</t>
        </is>
      </c>
      <c r="H224" s="10" t="n">
        <v>3</v>
      </c>
      <c r="I224" s="10" t="n">
        <v>4</v>
      </c>
      <c r="J224" s="10" t="inlineStr">
        <is>
          <t>FMU parameter search</t>
        </is>
      </c>
      <c r="K224" s="17" t="n"/>
      <c r="L224" s="17" t="n"/>
      <c r="M224" s="12" t="n">
        <v>0</v>
      </c>
      <c r="N224" s="14">
        <f>IF(OR(K224="",L224=""),"",ROUND((L224-K224)*1440-N(M224),1))</f>
        <v/>
      </c>
      <c r="O224" s="17" t="n"/>
      <c r="P224" s="17" t="n"/>
      <c r="Q224" s="14">
        <f>IF(OR(O224="",P224=""),"",ROUND((P224-O224)*1440,1))</f>
        <v/>
      </c>
      <c r="R224" s="12" t="n"/>
      <c r="S224" s="12" t="inlineStr">
        <is>
          <t>Not started</t>
        </is>
      </c>
      <c r="T224" s="12" t="n"/>
      <c r="U224" s="12" t="n"/>
    </row>
    <row r="225">
      <c r="A225" s="10" t="inlineStr">
        <is>
          <t>OBS-221</t>
        </is>
      </c>
      <c r="B225" s="16" t="n"/>
      <c r="C225" s="12" t="n"/>
      <c r="D225" s="12" t="n"/>
      <c r="E225" s="10" t="inlineStr">
        <is>
          <t>Manual</t>
        </is>
      </c>
      <c r="F225" s="10" t="inlineStr">
        <is>
          <t>Heat exchanger</t>
        </is>
      </c>
      <c r="G225" s="10" t="inlineStr">
        <is>
          <t>HX_03</t>
        </is>
      </c>
      <c r="H225" s="10" t="n">
        <v>3</v>
      </c>
      <c r="I225" s="10" t="n">
        <v>5</v>
      </c>
      <c r="J225" s="10" t="inlineStr">
        <is>
          <t>Full-period refinement and validation</t>
        </is>
      </c>
      <c r="K225" s="17" t="n"/>
      <c r="L225" s="17" t="n"/>
      <c r="M225" s="12" t="n">
        <v>0</v>
      </c>
      <c r="N225" s="14">
        <f>IF(OR(K225="",L225=""),"",ROUND((L225-K225)*1440-N(M225),1))</f>
        <v/>
      </c>
      <c r="O225" s="17" t="n"/>
      <c r="P225" s="17" t="n"/>
      <c r="Q225" s="14">
        <f>IF(OR(O225="",P225=""),"",ROUND((P225-O225)*1440,1))</f>
        <v/>
      </c>
      <c r="R225" s="12" t="n"/>
      <c r="S225" s="12" t="inlineStr">
        <is>
          <t>Not started</t>
        </is>
      </c>
      <c r="T225" s="12" t="n"/>
      <c r="U225" s="12" t="n"/>
    </row>
    <row r="226">
      <c r="A226" s="10" t="inlineStr">
        <is>
          <t>OBS-222</t>
        </is>
      </c>
      <c r="B226" s="16" t="n"/>
      <c r="C226" s="12" t="n"/>
      <c r="D226" s="12" t="n"/>
      <c r="E226" s="10" t="inlineStr">
        <is>
          <t>Manual</t>
        </is>
      </c>
      <c r="F226" s="10" t="inlineStr">
        <is>
          <t>Heat exchanger</t>
        </is>
      </c>
      <c r="G226" s="10" t="inlineStr">
        <is>
          <t>HX_03</t>
        </is>
      </c>
      <c r="H226" s="10" t="n">
        <v>3</v>
      </c>
      <c r="I226" s="10" t="n">
        <v>6</v>
      </c>
      <c r="J226" s="10" t="inlineStr">
        <is>
          <t>Paper tables and figures</t>
        </is>
      </c>
      <c r="K226" s="17" t="n"/>
      <c r="L226" s="17" t="n"/>
      <c r="M226" s="12" t="n">
        <v>0</v>
      </c>
      <c r="N226" s="14">
        <f>IF(OR(K226="",L226=""),"",ROUND((L226-K226)*1440-N(M226),1))</f>
        <v/>
      </c>
      <c r="O226" s="17" t="n"/>
      <c r="P226" s="17" t="n"/>
      <c r="Q226" s="14">
        <f>IF(OR(O226="",P226=""),"",ROUND((P226-O226)*1440,1))</f>
        <v/>
      </c>
      <c r="R226" s="12" t="n"/>
      <c r="S226" s="12" t="inlineStr">
        <is>
          <t>Not started</t>
        </is>
      </c>
      <c r="T226" s="12" t="n"/>
      <c r="U226" s="12" t="n"/>
    </row>
    <row r="227">
      <c r="A227" s="10" t="inlineStr">
        <is>
          <t>OBS-223</t>
        </is>
      </c>
      <c r="B227" s="16" t="n">
        <v>46196</v>
      </c>
      <c r="C227" s="12" t="inlineStr">
        <is>
          <t>OP-001</t>
        </is>
      </c>
      <c r="D227" s="12" t="inlineStr">
        <is>
          <t>OBS-001</t>
        </is>
      </c>
      <c r="E227" s="10" t="inlineStr">
        <is>
          <t>Manual</t>
        </is>
      </c>
      <c r="F227" s="10" t="inlineStr">
        <is>
          <t>Heat exchanger</t>
        </is>
      </c>
      <c r="G227" s="10" t="inlineStr">
        <is>
          <t>HX_03</t>
        </is>
      </c>
      <c r="H227" s="10" t="n">
        <v>3</v>
      </c>
      <c r="I227" s="15" t="n">
        <v>7</v>
      </c>
      <c r="J227" s="15" t="inlineStr">
        <is>
          <t>Observability and evidence-grade review</t>
        </is>
      </c>
      <c r="K227" s="17" t="n">
        <v>46196.62361111111</v>
      </c>
      <c r="L227" s="17" t="n">
        <v>46196.65138888889</v>
      </c>
      <c r="M227" s="12" t="n">
        <v>0</v>
      </c>
      <c r="N227" s="14">
        <f>IF(OR(K227="",L227=""),"",ROUND((L227-K227)*1440-N(M227),1))</f>
        <v/>
      </c>
      <c r="O227" s="17" t="n"/>
      <c r="P227" s="17" t="n"/>
      <c r="Q227" s="14">
        <f>IF(OR(O227="",P227=""),"",ROUND((P227-O227)*1440,1))</f>
        <v/>
      </c>
      <c r="R227" s="12" t="n"/>
      <c r="S227" s="12" t="inlineStr">
        <is>
          <t>Complete</t>
        </is>
      </c>
      <c r="T227" s="12" t="n"/>
      <c r="U227" s="12" t="n"/>
    </row>
    <row r="228">
      <c r="A228" s="10" t="inlineStr">
        <is>
          <t>OBS-224</t>
        </is>
      </c>
      <c r="B228" s="16" t="n">
        <v>46196</v>
      </c>
      <c r="C228" s="12" t="inlineStr">
        <is>
          <t>OP-001</t>
        </is>
      </c>
      <c r="D228" s="12" t="inlineStr">
        <is>
          <t>OBS-001</t>
        </is>
      </c>
      <c r="E228" s="10" t="inlineStr">
        <is>
          <t>Manual</t>
        </is>
      </c>
      <c r="F228" s="10" t="inlineStr">
        <is>
          <t>Heat exchanger</t>
        </is>
      </c>
      <c r="G228" s="10" t="inlineStr">
        <is>
          <t>HX_03</t>
        </is>
      </c>
      <c r="H228" s="10" t="n">
        <v>3</v>
      </c>
      <c r="I228" s="15" t="n">
        <v>8</v>
      </c>
      <c r="J228" s="15" t="inlineStr">
        <is>
          <t>Temporal split definition and audit</t>
        </is>
      </c>
      <c r="K228" s="17" t="n">
        <v>46196.65763888889</v>
      </c>
      <c r="L228" s="17" t="n">
        <v>46196.675</v>
      </c>
      <c r="M228" s="12" t="n">
        <v>0</v>
      </c>
      <c r="N228" s="14">
        <f>IF(OR(K228="",L228=""),"",ROUND((L228-K228)*1440-N(M228),1))</f>
        <v/>
      </c>
      <c r="O228" s="17" t="n"/>
      <c r="P228" s="17" t="n"/>
      <c r="Q228" s="14">
        <f>IF(OR(O228="",P228=""),"",ROUND((P228-O228)*1440,1))</f>
        <v/>
      </c>
      <c r="R228" s="12" t="n"/>
      <c r="S228" s="12" t="inlineStr">
        <is>
          <t>Blocked</t>
        </is>
      </c>
      <c r="T228" s="12" t="n"/>
      <c r="U228" s="12" t="n"/>
    </row>
    <row r="229">
      <c r="A229" s="10" t="inlineStr">
        <is>
          <t>OBS-225</t>
        </is>
      </c>
      <c r="B229" s="16" t="n"/>
      <c r="C229" s="12" t="n"/>
      <c r="D229" s="12" t="n"/>
      <c r="E229" s="10" t="inlineStr">
        <is>
          <t>Auto</t>
        </is>
      </c>
      <c r="F229" s="10" t="inlineStr">
        <is>
          <t>Heat exchanger</t>
        </is>
      </c>
      <c r="G229" s="10" t="inlineStr">
        <is>
          <t>FAMILY_SETUP</t>
        </is>
      </c>
      <c r="H229" s="10" t="n">
        <v>0</v>
      </c>
      <c r="I229" s="10" t="n">
        <v>1</v>
      </c>
      <c r="J229" s="10" t="inlineStr">
        <is>
          <t>Data loading and semantic mapping</t>
        </is>
      </c>
      <c r="K229" s="17" t="n"/>
      <c r="L229" s="17" t="n"/>
      <c r="M229" s="12" t="n">
        <v>0</v>
      </c>
      <c r="N229" s="14">
        <f>IF(OR(K229="",L229=""),"",ROUND((L229-K229)*1440-N(M229),1))</f>
        <v/>
      </c>
      <c r="O229" s="17" t="n"/>
      <c r="P229" s="17" t="n"/>
      <c r="Q229" s="14">
        <f>IF(OR(O229="",P229=""),"",ROUND((P229-O229)*1440,1))</f>
        <v/>
      </c>
      <c r="R229" s="12" t="n"/>
      <c r="S229" s="12" t="inlineStr">
        <is>
          <t>Not started</t>
        </is>
      </c>
      <c r="T229" s="12" t="n"/>
      <c r="U229" s="12" t="n"/>
    </row>
    <row r="230">
      <c r="A230" s="10" t="inlineStr">
        <is>
          <t>OBS-226</t>
        </is>
      </c>
      <c r="B230" s="16" t="n"/>
      <c r="C230" s="12" t="n"/>
      <c r="D230" s="12" t="n"/>
      <c r="E230" s="10" t="inlineStr">
        <is>
          <t>Auto</t>
        </is>
      </c>
      <c r="F230" s="10" t="inlineStr">
        <is>
          <t>Heat exchanger</t>
        </is>
      </c>
      <c r="G230" s="10" t="inlineStr">
        <is>
          <t>FAMILY_SETUP</t>
        </is>
      </c>
      <c r="H230" s="10" t="n">
        <v>0</v>
      </c>
      <c r="I230" s="10" t="n">
        <v>2</v>
      </c>
      <c r="J230" s="10" t="inlineStr">
        <is>
          <t>Valid model input table preparation</t>
        </is>
      </c>
      <c r="K230" s="17" t="n"/>
      <c r="L230" s="17" t="n"/>
      <c r="M230" s="12" t="n">
        <v>0</v>
      </c>
      <c r="N230" s="14">
        <f>IF(OR(K230="",L230=""),"",ROUND((L230-K230)*1440-N(M230),1))</f>
        <v/>
      </c>
      <c r="O230" s="17" t="n"/>
      <c r="P230" s="17" t="n"/>
      <c r="Q230" s="14">
        <f>IF(OR(O230="",P230=""),"",ROUND((P230-O230)*1440,1))</f>
        <v/>
      </c>
      <c r="R230" s="12" t="n"/>
      <c r="S230" s="12" t="inlineStr">
        <is>
          <t>Not started</t>
        </is>
      </c>
      <c r="T230" s="12" t="n"/>
      <c r="U230" s="12" t="n"/>
    </row>
    <row r="231">
      <c r="A231" s="10" t="inlineStr">
        <is>
          <t>OBS-227</t>
        </is>
      </c>
      <c r="B231" s="16" t="n"/>
      <c r="C231" s="12" t="n"/>
      <c r="D231" s="12" t="n"/>
      <c r="E231" s="10" t="inlineStr">
        <is>
          <t>Auto</t>
        </is>
      </c>
      <c r="F231" s="10" t="inlineStr">
        <is>
          <t>Heat exchanger</t>
        </is>
      </c>
      <c r="G231" s="10" t="inlineStr">
        <is>
          <t>FAMILY_SETUP</t>
        </is>
      </c>
      <c r="H231" s="10" t="n">
        <v>0</v>
      </c>
      <c r="I231" s="10" t="n">
        <v>3</v>
      </c>
      <c r="J231" s="10" t="inlineStr">
        <is>
          <t>Modelica/FMU candidate setup</t>
        </is>
      </c>
      <c r="K231" s="17" t="n"/>
      <c r="L231" s="17" t="n"/>
      <c r="M231" s="12" t="n">
        <v>0</v>
      </c>
      <c r="N231" s="14">
        <f>IF(OR(K231="",L231=""),"",ROUND((L231-K231)*1440-N(M231),1))</f>
        <v/>
      </c>
      <c r="O231" s="17" t="n"/>
      <c r="P231" s="17" t="n"/>
      <c r="Q231" s="14">
        <f>IF(OR(O231="",P231=""),"",ROUND((P231-O231)*1440,1))</f>
        <v/>
      </c>
      <c r="R231" s="12" t="n"/>
      <c r="S231" s="12" t="inlineStr">
        <is>
          <t>Not started</t>
        </is>
      </c>
      <c r="T231" s="12" t="n"/>
      <c r="U231" s="12" t="n"/>
    </row>
    <row r="232">
      <c r="A232" s="10" t="inlineStr">
        <is>
          <t>OBS-228</t>
        </is>
      </c>
      <c r="B232" s="16" t="n"/>
      <c r="C232" s="12" t="n"/>
      <c r="D232" s="12" t="n"/>
      <c r="E232" s="10" t="inlineStr">
        <is>
          <t>Auto</t>
        </is>
      </c>
      <c r="F232" s="10" t="inlineStr">
        <is>
          <t>Heat exchanger</t>
        </is>
      </c>
      <c r="G232" s="10" t="inlineStr">
        <is>
          <t>FAMILY_SETUP</t>
        </is>
      </c>
      <c r="H232" s="10" t="n">
        <v>0</v>
      </c>
      <c r="I232" s="10" t="n">
        <v>4</v>
      </c>
      <c r="J232" s="10" t="inlineStr">
        <is>
          <t>FMU parameter search</t>
        </is>
      </c>
      <c r="K232" s="17" t="n"/>
      <c r="L232" s="17" t="n"/>
      <c r="M232" s="12" t="n">
        <v>0</v>
      </c>
      <c r="N232" s="14">
        <f>IF(OR(K232="",L232=""),"",ROUND((L232-K232)*1440-N(M232),1))</f>
        <v/>
      </c>
      <c r="O232" s="17" t="n"/>
      <c r="P232" s="17" t="n"/>
      <c r="Q232" s="14">
        <f>IF(OR(O232="",P232=""),"",ROUND((P232-O232)*1440,1))</f>
        <v/>
      </c>
      <c r="R232" s="12" t="n"/>
      <c r="S232" s="12" t="inlineStr">
        <is>
          <t>Not started</t>
        </is>
      </c>
      <c r="T232" s="12" t="n"/>
      <c r="U232" s="12" t="n"/>
    </row>
    <row r="233">
      <c r="A233" s="10" t="inlineStr">
        <is>
          <t>OBS-229</t>
        </is>
      </c>
      <c r="B233" s="16" t="n"/>
      <c r="C233" s="12" t="n"/>
      <c r="D233" s="12" t="n"/>
      <c r="E233" s="10" t="inlineStr">
        <is>
          <t>Auto</t>
        </is>
      </c>
      <c r="F233" s="10" t="inlineStr">
        <is>
          <t>Heat exchanger</t>
        </is>
      </c>
      <c r="G233" s="10" t="inlineStr">
        <is>
          <t>FAMILY_SETUP</t>
        </is>
      </c>
      <c r="H233" s="10" t="n">
        <v>0</v>
      </c>
      <c r="I233" s="10" t="n">
        <v>5</v>
      </c>
      <c r="J233" s="10" t="inlineStr">
        <is>
          <t>Full-period refinement and validation</t>
        </is>
      </c>
      <c r="K233" s="17" t="n"/>
      <c r="L233" s="17" t="n"/>
      <c r="M233" s="12" t="n">
        <v>0</v>
      </c>
      <c r="N233" s="14">
        <f>IF(OR(K233="",L233=""),"",ROUND((L233-K233)*1440-N(M233),1))</f>
        <v/>
      </c>
      <c r="O233" s="17" t="n"/>
      <c r="P233" s="17" t="n"/>
      <c r="Q233" s="14">
        <f>IF(OR(O233="",P233=""),"",ROUND((P233-O233)*1440,1))</f>
        <v/>
      </c>
      <c r="R233" s="12" t="n"/>
      <c r="S233" s="12" t="inlineStr">
        <is>
          <t>Not started</t>
        </is>
      </c>
      <c r="T233" s="12" t="n"/>
      <c r="U233" s="12" t="n"/>
    </row>
    <row r="234">
      <c r="A234" s="10" t="inlineStr">
        <is>
          <t>OBS-230</t>
        </is>
      </c>
      <c r="B234" s="16" t="n"/>
      <c r="C234" s="12" t="n"/>
      <c r="D234" s="12" t="n"/>
      <c r="E234" s="10" t="inlineStr">
        <is>
          <t>Auto</t>
        </is>
      </c>
      <c r="F234" s="10" t="inlineStr">
        <is>
          <t>Heat exchanger</t>
        </is>
      </c>
      <c r="G234" s="10" t="inlineStr">
        <is>
          <t>FAMILY_SETUP</t>
        </is>
      </c>
      <c r="H234" s="10" t="n">
        <v>0</v>
      </c>
      <c r="I234" s="10" t="n">
        <v>6</v>
      </c>
      <c r="J234" s="10" t="inlineStr">
        <is>
          <t>Paper tables and figures</t>
        </is>
      </c>
      <c r="K234" s="17" t="n"/>
      <c r="L234" s="17" t="n"/>
      <c r="M234" s="12" t="n">
        <v>0</v>
      </c>
      <c r="N234" s="14">
        <f>IF(OR(K234="",L234=""),"",ROUND((L234-K234)*1440-N(M234),1))</f>
        <v/>
      </c>
      <c r="O234" s="17" t="n"/>
      <c r="P234" s="17" t="n"/>
      <c r="Q234" s="14">
        <f>IF(OR(O234="",P234=""),"",ROUND((P234-O234)*1440,1))</f>
        <v/>
      </c>
      <c r="R234" s="12" t="n"/>
      <c r="S234" s="12" t="inlineStr">
        <is>
          <t>Not started</t>
        </is>
      </c>
      <c r="T234" s="12" t="n"/>
      <c r="U234" s="12" t="n"/>
    </row>
    <row r="235">
      <c r="A235" s="10" t="inlineStr">
        <is>
          <t>OBS-231</t>
        </is>
      </c>
      <c r="B235" s="16" t="n"/>
      <c r="C235" s="12" t="n"/>
      <c r="D235" s="12" t="n"/>
      <c r="E235" s="10" t="inlineStr">
        <is>
          <t>Auto</t>
        </is>
      </c>
      <c r="F235" s="10" t="inlineStr">
        <is>
          <t>Heat exchanger</t>
        </is>
      </c>
      <c r="G235" s="10" t="inlineStr">
        <is>
          <t>FAMILY_SETUP</t>
        </is>
      </c>
      <c r="H235" s="10" t="n">
        <v>0</v>
      </c>
      <c r="I235" s="15" t="n">
        <v>7</v>
      </c>
      <c r="J235" s="15" t="inlineStr">
        <is>
          <t>Observability and evidence-grade review</t>
        </is>
      </c>
      <c r="K235" s="17" t="n"/>
      <c r="L235" s="17" t="n"/>
      <c r="M235" s="12" t="n">
        <v>0</v>
      </c>
      <c r="N235" s="14">
        <f>IF(OR(K235="",L235=""),"",ROUND((L235-K235)*1440-N(M235),1))</f>
        <v/>
      </c>
      <c r="O235" s="17" t="n"/>
      <c r="P235" s="17" t="n"/>
      <c r="Q235" s="14">
        <f>IF(OR(O235="",P235=""),"",ROUND((P235-O235)*1440,1))</f>
        <v/>
      </c>
      <c r="R235" s="12" t="n"/>
      <c r="S235" s="12" t="inlineStr">
        <is>
          <t>Not started</t>
        </is>
      </c>
      <c r="T235" s="12" t="n"/>
      <c r="U235" s="12" t="n"/>
    </row>
    <row r="236">
      <c r="A236" s="10" t="inlineStr">
        <is>
          <t>OBS-232</t>
        </is>
      </c>
      <c r="B236" s="16" t="n"/>
      <c r="C236" s="12" t="n"/>
      <c r="D236" s="12" t="n"/>
      <c r="E236" s="10" t="inlineStr">
        <is>
          <t>Auto</t>
        </is>
      </c>
      <c r="F236" s="10" t="inlineStr">
        <is>
          <t>Heat exchanger</t>
        </is>
      </c>
      <c r="G236" s="10" t="inlineStr">
        <is>
          <t>FAMILY_SETUP</t>
        </is>
      </c>
      <c r="H236" s="10" t="n">
        <v>0</v>
      </c>
      <c r="I236" s="15" t="n">
        <v>8</v>
      </c>
      <c r="J236" s="15" t="inlineStr">
        <is>
          <t>Temporal split definition and audit</t>
        </is>
      </c>
      <c r="K236" s="17" t="n"/>
      <c r="L236" s="17" t="n"/>
      <c r="M236" s="12" t="n">
        <v>0</v>
      </c>
      <c r="N236" s="14">
        <f>IF(OR(K236="",L236=""),"",ROUND((L236-K236)*1440-N(M236),1))</f>
        <v/>
      </c>
      <c r="O236" s="17" t="n"/>
      <c r="P236" s="17" t="n"/>
      <c r="Q236" s="14">
        <f>IF(OR(O236="",P236=""),"",ROUND((P236-O236)*1440,1))</f>
        <v/>
      </c>
      <c r="R236" s="12" t="n"/>
      <c r="S236" s="12" t="inlineStr">
        <is>
          <t>Not started</t>
        </is>
      </c>
      <c r="T236" s="12" t="n"/>
      <c r="U236" s="12" t="n"/>
    </row>
    <row r="237">
      <c r="A237" s="10" t="inlineStr">
        <is>
          <t>OBS-233</t>
        </is>
      </c>
      <c r="B237" s="16" t="n"/>
      <c r="C237" s="12" t="n"/>
      <c r="D237" s="12" t="n"/>
      <c r="E237" s="10" t="inlineStr">
        <is>
          <t>Auto</t>
        </is>
      </c>
      <c r="F237" s="10" t="inlineStr">
        <is>
          <t>Heat exchanger</t>
        </is>
      </c>
      <c r="G237" s="10" t="inlineStr">
        <is>
          <t>HX_01</t>
        </is>
      </c>
      <c r="H237" s="10" t="n">
        <v>1</v>
      </c>
      <c r="I237" s="10" t="n">
        <v>1</v>
      </c>
      <c r="J237" s="10" t="inlineStr">
        <is>
          <t>Data loading and semantic mapping</t>
        </is>
      </c>
      <c r="K237" s="17" t="n"/>
      <c r="L237" s="17" t="n"/>
      <c r="M237" s="12" t="n">
        <v>0</v>
      </c>
      <c r="N237" s="14">
        <f>IF(OR(K237="",L237=""),"",ROUND((L237-K237)*1440-N(M237),1))</f>
        <v/>
      </c>
      <c r="O237" s="17" t="n"/>
      <c r="P237" s="17" t="n"/>
      <c r="Q237" s="14">
        <f>IF(OR(O237="",P237=""),"",ROUND((P237-O237)*1440,1))</f>
        <v/>
      </c>
      <c r="R237" s="12" t="n"/>
      <c r="S237" s="12" t="inlineStr">
        <is>
          <t>Not started</t>
        </is>
      </c>
      <c r="T237" s="12" t="n"/>
      <c r="U237" s="12" t="n"/>
    </row>
    <row r="238">
      <c r="A238" s="10" t="inlineStr">
        <is>
          <t>OBS-234</t>
        </is>
      </c>
      <c r="B238" s="16" t="n"/>
      <c r="C238" s="12" t="n"/>
      <c r="D238" s="12" t="n"/>
      <c r="E238" s="10" t="inlineStr">
        <is>
          <t>Auto</t>
        </is>
      </c>
      <c r="F238" s="10" t="inlineStr">
        <is>
          <t>Heat exchanger</t>
        </is>
      </c>
      <c r="G238" s="10" t="inlineStr">
        <is>
          <t>HX_01</t>
        </is>
      </c>
      <c r="H238" s="10" t="n">
        <v>1</v>
      </c>
      <c r="I238" s="10" t="n">
        <v>2</v>
      </c>
      <c r="J238" s="10" t="inlineStr">
        <is>
          <t>Valid model input table preparation</t>
        </is>
      </c>
      <c r="K238" s="17" t="n"/>
      <c r="L238" s="17" t="n"/>
      <c r="M238" s="12" t="n">
        <v>0</v>
      </c>
      <c r="N238" s="14">
        <f>IF(OR(K238="",L238=""),"",ROUND((L238-K238)*1440-N(M238),1))</f>
        <v/>
      </c>
      <c r="O238" s="17" t="n"/>
      <c r="P238" s="17" t="n"/>
      <c r="Q238" s="14">
        <f>IF(OR(O238="",P238=""),"",ROUND((P238-O238)*1440,1))</f>
        <v/>
      </c>
      <c r="R238" s="12" t="n"/>
      <c r="S238" s="12" t="inlineStr">
        <is>
          <t>Not started</t>
        </is>
      </c>
      <c r="T238" s="12" t="n"/>
      <c r="U238" s="12" t="n"/>
    </row>
    <row r="239">
      <c r="A239" s="10" t="inlineStr">
        <is>
          <t>OBS-235</t>
        </is>
      </c>
      <c r="B239" s="16" t="n"/>
      <c r="C239" s="12" t="n"/>
      <c r="D239" s="12" t="n"/>
      <c r="E239" s="10" t="inlineStr">
        <is>
          <t>Auto</t>
        </is>
      </c>
      <c r="F239" s="10" t="inlineStr">
        <is>
          <t>Heat exchanger</t>
        </is>
      </c>
      <c r="G239" s="10" t="inlineStr">
        <is>
          <t>HX_01</t>
        </is>
      </c>
      <c r="H239" s="10" t="n">
        <v>1</v>
      </c>
      <c r="I239" s="10" t="n">
        <v>3</v>
      </c>
      <c r="J239" s="10" t="inlineStr">
        <is>
          <t>Modelica/FMU candidate setup</t>
        </is>
      </c>
      <c r="K239" s="17" t="n"/>
      <c r="L239" s="17" t="n"/>
      <c r="M239" s="12" t="n">
        <v>0</v>
      </c>
      <c r="N239" s="14">
        <f>IF(OR(K239="",L239=""),"",ROUND((L239-K239)*1440-N(M239),1))</f>
        <v/>
      </c>
      <c r="O239" s="17" t="n"/>
      <c r="P239" s="17" t="n"/>
      <c r="Q239" s="14">
        <f>IF(OR(O239="",P239=""),"",ROUND((P239-O239)*1440,1))</f>
        <v/>
      </c>
      <c r="R239" s="12" t="n"/>
      <c r="S239" s="12" t="inlineStr">
        <is>
          <t>Not started</t>
        </is>
      </c>
      <c r="T239" s="12" t="n"/>
      <c r="U239" s="12" t="n"/>
    </row>
    <row r="240">
      <c r="A240" s="10" t="inlineStr">
        <is>
          <t>OBS-236</t>
        </is>
      </c>
      <c r="B240" s="16" t="n"/>
      <c r="C240" s="12" t="n"/>
      <c r="D240" s="12" t="n"/>
      <c r="E240" s="10" t="inlineStr">
        <is>
          <t>Auto</t>
        </is>
      </c>
      <c r="F240" s="10" t="inlineStr">
        <is>
          <t>Heat exchanger</t>
        </is>
      </c>
      <c r="G240" s="10" t="inlineStr">
        <is>
          <t>HX_01</t>
        </is>
      </c>
      <c r="H240" s="10" t="n">
        <v>1</v>
      </c>
      <c r="I240" s="10" t="n">
        <v>4</v>
      </c>
      <c r="J240" s="10" t="inlineStr">
        <is>
          <t>FMU parameter search</t>
        </is>
      </c>
      <c r="K240" s="17" t="n"/>
      <c r="L240" s="17" t="n"/>
      <c r="M240" s="12" t="n">
        <v>0</v>
      </c>
      <c r="N240" s="14">
        <f>IF(OR(K240="",L240=""),"",ROUND((L240-K240)*1440-N(M240),1))</f>
        <v/>
      </c>
      <c r="O240" s="17" t="n"/>
      <c r="P240" s="17" t="n"/>
      <c r="Q240" s="14">
        <f>IF(OR(O240="",P240=""),"",ROUND((P240-O240)*1440,1))</f>
        <v/>
      </c>
      <c r="R240" s="12" t="n"/>
      <c r="S240" s="12" t="inlineStr">
        <is>
          <t>Not started</t>
        </is>
      </c>
      <c r="T240" s="12" t="n"/>
      <c r="U240" s="12" t="n"/>
    </row>
    <row r="241">
      <c r="A241" s="10" t="inlineStr">
        <is>
          <t>OBS-237</t>
        </is>
      </c>
      <c r="B241" s="16" t="n"/>
      <c r="C241" s="12" t="n"/>
      <c r="D241" s="12" t="n"/>
      <c r="E241" s="10" t="inlineStr">
        <is>
          <t>Auto</t>
        </is>
      </c>
      <c r="F241" s="10" t="inlineStr">
        <is>
          <t>Heat exchanger</t>
        </is>
      </c>
      <c r="G241" s="10" t="inlineStr">
        <is>
          <t>HX_01</t>
        </is>
      </c>
      <c r="H241" s="10" t="n">
        <v>1</v>
      </c>
      <c r="I241" s="10" t="n">
        <v>5</v>
      </c>
      <c r="J241" s="10" t="inlineStr">
        <is>
          <t>Full-period refinement and validation</t>
        </is>
      </c>
      <c r="K241" s="17" t="n"/>
      <c r="L241" s="17" t="n"/>
      <c r="M241" s="12" t="n">
        <v>0</v>
      </c>
      <c r="N241" s="14">
        <f>IF(OR(K241="",L241=""),"",ROUND((L241-K241)*1440-N(M241),1))</f>
        <v/>
      </c>
      <c r="O241" s="17" t="n"/>
      <c r="P241" s="17" t="n"/>
      <c r="Q241" s="14">
        <f>IF(OR(O241="",P241=""),"",ROUND((P241-O241)*1440,1))</f>
        <v/>
      </c>
      <c r="R241" s="12" t="n"/>
      <c r="S241" s="12" t="inlineStr">
        <is>
          <t>Not started</t>
        </is>
      </c>
      <c r="T241" s="12" t="n"/>
      <c r="U241" s="12" t="n"/>
    </row>
    <row r="242">
      <c r="A242" s="10" t="inlineStr">
        <is>
          <t>OBS-238</t>
        </is>
      </c>
      <c r="B242" s="16" t="n"/>
      <c r="C242" s="12" t="n"/>
      <c r="D242" s="12" t="n"/>
      <c r="E242" s="10" t="inlineStr">
        <is>
          <t>Auto</t>
        </is>
      </c>
      <c r="F242" s="10" t="inlineStr">
        <is>
          <t>Heat exchanger</t>
        </is>
      </c>
      <c r="G242" s="10" t="inlineStr">
        <is>
          <t>HX_01</t>
        </is>
      </c>
      <c r="H242" s="10" t="n">
        <v>1</v>
      </c>
      <c r="I242" s="10" t="n">
        <v>6</v>
      </c>
      <c r="J242" s="10" t="inlineStr">
        <is>
          <t>Paper tables and figures</t>
        </is>
      </c>
      <c r="K242" s="17" t="n"/>
      <c r="L242" s="17" t="n"/>
      <c r="M242" s="12" t="n">
        <v>0</v>
      </c>
      <c r="N242" s="14">
        <f>IF(OR(K242="",L242=""),"",ROUND((L242-K242)*1440-N(M242),1))</f>
        <v/>
      </c>
      <c r="O242" s="17" t="n"/>
      <c r="P242" s="17" t="n"/>
      <c r="Q242" s="14">
        <f>IF(OR(O242="",P242=""),"",ROUND((P242-O242)*1440,1))</f>
        <v/>
      </c>
      <c r="R242" s="12" t="n"/>
      <c r="S242" s="12" t="inlineStr">
        <is>
          <t>Not started</t>
        </is>
      </c>
      <c r="T242" s="12" t="n"/>
      <c r="U242" s="12" t="n"/>
    </row>
    <row r="243">
      <c r="A243" s="10" t="inlineStr">
        <is>
          <t>OBS-239</t>
        </is>
      </c>
      <c r="B243" s="16" t="n"/>
      <c r="C243" s="12" t="n"/>
      <c r="D243" s="12" t="n"/>
      <c r="E243" s="10" t="inlineStr">
        <is>
          <t>Auto</t>
        </is>
      </c>
      <c r="F243" s="10" t="inlineStr">
        <is>
          <t>Heat exchanger</t>
        </is>
      </c>
      <c r="G243" s="10" t="inlineStr">
        <is>
          <t>HX_01</t>
        </is>
      </c>
      <c r="H243" s="10" t="n">
        <v>1</v>
      </c>
      <c r="I243" s="15" t="n">
        <v>7</v>
      </c>
      <c r="J243" s="15" t="inlineStr">
        <is>
          <t>Observability and evidence-grade review</t>
        </is>
      </c>
      <c r="K243" s="17" t="n"/>
      <c r="L243" s="17" t="n"/>
      <c r="M243" s="12" t="n">
        <v>0</v>
      </c>
      <c r="N243" s="14">
        <f>IF(OR(K243="",L243=""),"",ROUND((L243-K243)*1440-N(M243),1))</f>
        <v/>
      </c>
      <c r="O243" s="17" t="n"/>
      <c r="P243" s="17" t="n"/>
      <c r="Q243" s="14">
        <f>IF(OR(O243="",P243=""),"",ROUND((P243-O243)*1440,1))</f>
        <v/>
      </c>
      <c r="R243" s="12" t="n"/>
      <c r="S243" s="12" t="inlineStr">
        <is>
          <t>Not started</t>
        </is>
      </c>
      <c r="T243" s="12" t="n"/>
      <c r="U243" s="12" t="n"/>
    </row>
    <row r="244">
      <c r="A244" s="10" t="inlineStr">
        <is>
          <t>OBS-240</t>
        </is>
      </c>
      <c r="B244" s="16" t="n"/>
      <c r="C244" s="12" t="n"/>
      <c r="D244" s="12" t="n"/>
      <c r="E244" s="10" t="inlineStr">
        <is>
          <t>Auto</t>
        </is>
      </c>
      <c r="F244" s="10" t="inlineStr">
        <is>
          <t>Heat exchanger</t>
        </is>
      </c>
      <c r="G244" s="10" t="inlineStr">
        <is>
          <t>HX_01</t>
        </is>
      </c>
      <c r="H244" s="10" t="n">
        <v>1</v>
      </c>
      <c r="I244" s="15" t="n">
        <v>8</v>
      </c>
      <c r="J244" s="15" t="inlineStr">
        <is>
          <t>Temporal split definition and audit</t>
        </is>
      </c>
      <c r="K244" s="17" t="n"/>
      <c r="L244" s="17" t="n"/>
      <c r="M244" s="12" t="n">
        <v>0</v>
      </c>
      <c r="N244" s="14">
        <f>IF(OR(K244="",L244=""),"",ROUND((L244-K244)*1440-N(M244),1))</f>
        <v/>
      </c>
      <c r="O244" s="17" t="n"/>
      <c r="P244" s="17" t="n"/>
      <c r="Q244" s="14">
        <f>IF(OR(O244="",P244=""),"",ROUND((P244-O244)*1440,1))</f>
        <v/>
      </c>
      <c r="R244" s="12" t="n"/>
      <c r="S244" s="12" t="inlineStr">
        <is>
          <t>Not started</t>
        </is>
      </c>
      <c r="T244" s="12" t="n"/>
      <c r="U244" s="12" t="n"/>
    </row>
    <row r="245">
      <c r="A245" s="10" t="inlineStr">
        <is>
          <t>OBS-241</t>
        </is>
      </c>
      <c r="B245" s="16" t="n"/>
      <c r="C245" s="12" t="n"/>
      <c r="D245" s="12" t="n"/>
      <c r="E245" s="10" t="inlineStr">
        <is>
          <t>Auto</t>
        </is>
      </c>
      <c r="F245" s="10" t="inlineStr">
        <is>
          <t>Heat exchanger</t>
        </is>
      </c>
      <c r="G245" s="10" t="inlineStr">
        <is>
          <t>HX_02</t>
        </is>
      </c>
      <c r="H245" s="10" t="n">
        <v>2</v>
      </c>
      <c r="I245" s="10" t="n">
        <v>1</v>
      </c>
      <c r="J245" s="10" t="inlineStr">
        <is>
          <t>Data loading and semantic mapping</t>
        </is>
      </c>
      <c r="K245" s="17" t="n"/>
      <c r="L245" s="17" t="n"/>
      <c r="M245" s="12" t="n">
        <v>0</v>
      </c>
      <c r="N245" s="14">
        <f>IF(OR(K245="",L245=""),"",ROUND((L245-K245)*1440-N(M245),1))</f>
        <v/>
      </c>
      <c r="O245" s="17" t="n"/>
      <c r="P245" s="17" t="n"/>
      <c r="Q245" s="14">
        <f>IF(OR(O245="",P245=""),"",ROUND((P245-O245)*1440,1))</f>
        <v/>
      </c>
      <c r="R245" s="12" t="n"/>
      <c r="S245" s="12" t="inlineStr">
        <is>
          <t>Not started</t>
        </is>
      </c>
      <c r="T245" s="12" t="n"/>
      <c r="U245" s="12" t="n"/>
    </row>
    <row r="246">
      <c r="A246" s="10" t="inlineStr">
        <is>
          <t>OBS-242</t>
        </is>
      </c>
      <c r="B246" s="16" t="n"/>
      <c r="C246" s="12" t="n"/>
      <c r="D246" s="12" t="n"/>
      <c r="E246" s="10" t="inlineStr">
        <is>
          <t>Auto</t>
        </is>
      </c>
      <c r="F246" s="10" t="inlineStr">
        <is>
          <t>Heat exchanger</t>
        </is>
      </c>
      <c r="G246" s="10" t="inlineStr">
        <is>
          <t>HX_02</t>
        </is>
      </c>
      <c r="H246" s="10" t="n">
        <v>2</v>
      </c>
      <c r="I246" s="10" t="n">
        <v>2</v>
      </c>
      <c r="J246" s="10" t="inlineStr">
        <is>
          <t>Valid model input table preparation</t>
        </is>
      </c>
      <c r="K246" s="17" t="n"/>
      <c r="L246" s="17" t="n"/>
      <c r="M246" s="12" t="n">
        <v>0</v>
      </c>
      <c r="N246" s="14">
        <f>IF(OR(K246="",L246=""),"",ROUND((L246-K246)*1440-N(M246),1))</f>
        <v/>
      </c>
      <c r="O246" s="17" t="n"/>
      <c r="P246" s="17" t="n"/>
      <c r="Q246" s="14">
        <f>IF(OR(O246="",P246=""),"",ROUND((P246-O246)*1440,1))</f>
        <v/>
      </c>
      <c r="R246" s="12" t="n"/>
      <c r="S246" s="12" t="inlineStr">
        <is>
          <t>Not started</t>
        </is>
      </c>
      <c r="T246" s="12" t="n"/>
      <c r="U246" s="12" t="n"/>
    </row>
    <row r="247">
      <c r="A247" s="10" t="inlineStr">
        <is>
          <t>OBS-243</t>
        </is>
      </c>
      <c r="B247" s="16" t="n"/>
      <c r="C247" s="12" t="n"/>
      <c r="D247" s="12" t="n"/>
      <c r="E247" s="10" t="inlineStr">
        <is>
          <t>Auto</t>
        </is>
      </c>
      <c r="F247" s="10" t="inlineStr">
        <is>
          <t>Heat exchanger</t>
        </is>
      </c>
      <c r="G247" s="10" t="inlineStr">
        <is>
          <t>HX_02</t>
        </is>
      </c>
      <c r="H247" s="10" t="n">
        <v>2</v>
      </c>
      <c r="I247" s="10" t="n">
        <v>3</v>
      </c>
      <c r="J247" s="10" t="inlineStr">
        <is>
          <t>Modelica/FMU candidate setup</t>
        </is>
      </c>
      <c r="K247" s="17" t="n"/>
      <c r="L247" s="17" t="n"/>
      <c r="M247" s="12" t="n">
        <v>0</v>
      </c>
      <c r="N247" s="14">
        <f>IF(OR(K247="",L247=""),"",ROUND((L247-K247)*1440-N(M247),1))</f>
        <v/>
      </c>
      <c r="O247" s="17" t="n"/>
      <c r="P247" s="17" t="n"/>
      <c r="Q247" s="14">
        <f>IF(OR(O247="",P247=""),"",ROUND((P247-O247)*1440,1))</f>
        <v/>
      </c>
      <c r="R247" s="12" t="n"/>
      <c r="S247" s="12" t="inlineStr">
        <is>
          <t>Not started</t>
        </is>
      </c>
      <c r="T247" s="12" t="n"/>
      <c r="U247" s="12" t="n"/>
    </row>
    <row r="248">
      <c r="A248" s="10" t="inlineStr">
        <is>
          <t>OBS-244</t>
        </is>
      </c>
      <c r="B248" s="16" t="n"/>
      <c r="C248" s="12" t="n"/>
      <c r="D248" s="12" t="n"/>
      <c r="E248" s="10" t="inlineStr">
        <is>
          <t>Auto</t>
        </is>
      </c>
      <c r="F248" s="10" t="inlineStr">
        <is>
          <t>Heat exchanger</t>
        </is>
      </c>
      <c r="G248" s="10" t="inlineStr">
        <is>
          <t>HX_02</t>
        </is>
      </c>
      <c r="H248" s="10" t="n">
        <v>2</v>
      </c>
      <c r="I248" s="10" t="n">
        <v>4</v>
      </c>
      <c r="J248" s="10" t="inlineStr">
        <is>
          <t>FMU parameter search</t>
        </is>
      </c>
      <c r="K248" s="17" t="n"/>
      <c r="L248" s="17" t="n"/>
      <c r="M248" s="12" t="n">
        <v>0</v>
      </c>
      <c r="N248" s="14">
        <f>IF(OR(K248="",L248=""),"",ROUND((L248-K248)*1440-N(M248),1))</f>
        <v/>
      </c>
      <c r="O248" s="17" t="n"/>
      <c r="P248" s="17" t="n"/>
      <c r="Q248" s="14">
        <f>IF(OR(O248="",P248=""),"",ROUND((P248-O248)*1440,1))</f>
        <v/>
      </c>
      <c r="R248" s="12" t="n"/>
      <c r="S248" s="12" t="inlineStr">
        <is>
          <t>Not started</t>
        </is>
      </c>
      <c r="T248" s="12" t="n"/>
      <c r="U248" s="12" t="n"/>
    </row>
    <row r="249">
      <c r="A249" s="10" t="inlineStr">
        <is>
          <t>OBS-245</t>
        </is>
      </c>
      <c r="B249" s="16" t="n"/>
      <c r="C249" s="12" t="n"/>
      <c r="D249" s="12" t="n"/>
      <c r="E249" s="10" t="inlineStr">
        <is>
          <t>Auto</t>
        </is>
      </c>
      <c r="F249" s="10" t="inlineStr">
        <is>
          <t>Heat exchanger</t>
        </is>
      </c>
      <c r="G249" s="10" t="inlineStr">
        <is>
          <t>HX_02</t>
        </is>
      </c>
      <c r="H249" s="10" t="n">
        <v>2</v>
      </c>
      <c r="I249" s="10" t="n">
        <v>5</v>
      </c>
      <c r="J249" s="10" t="inlineStr">
        <is>
          <t>Full-period refinement and validation</t>
        </is>
      </c>
      <c r="K249" s="17" t="n"/>
      <c r="L249" s="17" t="n"/>
      <c r="M249" s="12" t="n">
        <v>0</v>
      </c>
      <c r="N249" s="14">
        <f>IF(OR(K249="",L249=""),"",ROUND((L249-K249)*1440-N(M249),1))</f>
        <v/>
      </c>
      <c r="O249" s="17" t="n"/>
      <c r="P249" s="17" t="n"/>
      <c r="Q249" s="14">
        <f>IF(OR(O249="",P249=""),"",ROUND((P249-O249)*1440,1))</f>
        <v/>
      </c>
      <c r="R249" s="12" t="n"/>
      <c r="S249" s="12" t="inlineStr">
        <is>
          <t>Not started</t>
        </is>
      </c>
      <c r="T249" s="12" t="n"/>
      <c r="U249" s="12" t="n"/>
    </row>
    <row r="250">
      <c r="A250" s="10" t="inlineStr">
        <is>
          <t>OBS-246</t>
        </is>
      </c>
      <c r="B250" s="16" t="n"/>
      <c r="C250" s="12" t="n"/>
      <c r="D250" s="12" t="n"/>
      <c r="E250" s="10" t="inlineStr">
        <is>
          <t>Auto</t>
        </is>
      </c>
      <c r="F250" s="10" t="inlineStr">
        <is>
          <t>Heat exchanger</t>
        </is>
      </c>
      <c r="G250" s="10" t="inlineStr">
        <is>
          <t>HX_02</t>
        </is>
      </c>
      <c r="H250" s="10" t="n">
        <v>2</v>
      </c>
      <c r="I250" s="10" t="n">
        <v>6</v>
      </c>
      <c r="J250" s="10" t="inlineStr">
        <is>
          <t>Paper tables and figures</t>
        </is>
      </c>
      <c r="K250" s="17" t="n"/>
      <c r="L250" s="17" t="n"/>
      <c r="M250" s="12" t="n">
        <v>0</v>
      </c>
      <c r="N250" s="14">
        <f>IF(OR(K250="",L250=""),"",ROUND((L250-K250)*1440-N(M250),1))</f>
        <v/>
      </c>
      <c r="O250" s="17" t="n"/>
      <c r="P250" s="17" t="n"/>
      <c r="Q250" s="14">
        <f>IF(OR(O250="",P250=""),"",ROUND((P250-O250)*1440,1))</f>
        <v/>
      </c>
      <c r="R250" s="12" t="n"/>
      <c r="S250" s="12" t="inlineStr">
        <is>
          <t>Not started</t>
        </is>
      </c>
      <c r="T250" s="12" t="n"/>
      <c r="U250" s="12" t="n"/>
    </row>
    <row r="251">
      <c r="A251" s="10" t="inlineStr">
        <is>
          <t>OBS-247</t>
        </is>
      </c>
      <c r="B251" s="16" t="n"/>
      <c r="C251" s="12" t="n"/>
      <c r="D251" s="12" t="n"/>
      <c r="E251" s="10" t="inlineStr">
        <is>
          <t>Auto</t>
        </is>
      </c>
      <c r="F251" s="10" t="inlineStr">
        <is>
          <t>Heat exchanger</t>
        </is>
      </c>
      <c r="G251" s="10" t="inlineStr">
        <is>
          <t>HX_02</t>
        </is>
      </c>
      <c r="H251" s="10" t="n">
        <v>2</v>
      </c>
      <c r="I251" s="15" t="n">
        <v>7</v>
      </c>
      <c r="J251" s="15" t="inlineStr">
        <is>
          <t>Observability and evidence-grade review</t>
        </is>
      </c>
      <c r="K251" s="17" t="n"/>
      <c r="L251" s="17" t="n"/>
      <c r="M251" s="12" t="n">
        <v>0</v>
      </c>
      <c r="N251" s="14">
        <f>IF(OR(K251="",L251=""),"",ROUND((L251-K251)*1440-N(M251),1))</f>
        <v/>
      </c>
      <c r="O251" s="17" t="n"/>
      <c r="P251" s="17" t="n"/>
      <c r="Q251" s="14">
        <f>IF(OR(O251="",P251=""),"",ROUND((P251-O251)*1440,1))</f>
        <v/>
      </c>
      <c r="R251" s="12" t="n"/>
      <c r="S251" s="12" t="inlineStr">
        <is>
          <t>Not started</t>
        </is>
      </c>
      <c r="T251" s="12" t="n"/>
      <c r="U251" s="12" t="n"/>
    </row>
    <row r="252">
      <c r="A252" s="10" t="inlineStr">
        <is>
          <t>OBS-248</t>
        </is>
      </c>
      <c r="B252" s="16" t="n"/>
      <c r="C252" s="12" t="n"/>
      <c r="D252" s="12" t="n"/>
      <c r="E252" s="10" t="inlineStr">
        <is>
          <t>Auto</t>
        </is>
      </c>
      <c r="F252" s="10" t="inlineStr">
        <is>
          <t>Heat exchanger</t>
        </is>
      </c>
      <c r="G252" s="10" t="inlineStr">
        <is>
          <t>HX_02</t>
        </is>
      </c>
      <c r="H252" s="10" t="n">
        <v>2</v>
      </c>
      <c r="I252" s="15" t="n">
        <v>8</v>
      </c>
      <c r="J252" s="15" t="inlineStr">
        <is>
          <t>Temporal split definition and audit</t>
        </is>
      </c>
      <c r="K252" s="17" t="n"/>
      <c r="L252" s="17" t="n"/>
      <c r="M252" s="12" t="n">
        <v>0</v>
      </c>
      <c r="N252" s="14">
        <f>IF(OR(K252="",L252=""),"",ROUND((L252-K252)*1440-N(M252),1))</f>
        <v/>
      </c>
      <c r="O252" s="17" t="n"/>
      <c r="P252" s="17" t="n"/>
      <c r="Q252" s="14">
        <f>IF(OR(O252="",P252=""),"",ROUND((P252-O252)*1440,1))</f>
        <v/>
      </c>
      <c r="R252" s="12" t="n"/>
      <c r="S252" s="12" t="inlineStr">
        <is>
          <t>Not started</t>
        </is>
      </c>
      <c r="T252" s="12" t="n"/>
      <c r="U252" s="12" t="n"/>
    </row>
    <row r="253">
      <c r="A253" s="10" t="inlineStr">
        <is>
          <t>OBS-249</t>
        </is>
      </c>
      <c r="B253" s="16" t="n"/>
      <c r="C253" s="12" t="n"/>
      <c r="D253" s="12" t="n"/>
      <c r="E253" s="10" t="inlineStr">
        <is>
          <t>Auto</t>
        </is>
      </c>
      <c r="F253" s="10" t="inlineStr">
        <is>
          <t>Heat exchanger</t>
        </is>
      </c>
      <c r="G253" s="10" t="inlineStr">
        <is>
          <t>HX_03</t>
        </is>
      </c>
      <c r="H253" s="10" t="n">
        <v>3</v>
      </c>
      <c r="I253" s="10" t="n">
        <v>1</v>
      </c>
      <c r="J253" s="10" t="inlineStr">
        <is>
          <t>Data loading and semantic mapping</t>
        </is>
      </c>
      <c r="K253" s="17" t="n"/>
      <c r="L253" s="17" t="n"/>
      <c r="M253" s="12" t="n">
        <v>0</v>
      </c>
      <c r="N253" s="14">
        <f>IF(OR(K253="",L253=""),"",ROUND((L253-K253)*1440-N(M253),1))</f>
        <v/>
      </c>
      <c r="O253" s="17" t="n"/>
      <c r="P253" s="17" t="n"/>
      <c r="Q253" s="14">
        <f>IF(OR(O253="",P253=""),"",ROUND((P253-O253)*1440,1))</f>
        <v/>
      </c>
      <c r="R253" s="12" t="n"/>
      <c r="S253" s="12" t="inlineStr">
        <is>
          <t>Not started</t>
        </is>
      </c>
      <c r="T253" s="12" t="n"/>
      <c r="U253" s="12" t="n"/>
    </row>
    <row r="254">
      <c r="A254" s="10" t="inlineStr">
        <is>
          <t>OBS-250</t>
        </is>
      </c>
      <c r="B254" s="16" t="n"/>
      <c r="C254" s="12" t="n"/>
      <c r="D254" s="12" t="n"/>
      <c r="E254" s="10" t="inlineStr">
        <is>
          <t>Auto</t>
        </is>
      </c>
      <c r="F254" s="10" t="inlineStr">
        <is>
          <t>Heat exchanger</t>
        </is>
      </c>
      <c r="G254" s="10" t="inlineStr">
        <is>
          <t>HX_03</t>
        </is>
      </c>
      <c r="H254" s="10" t="n">
        <v>3</v>
      </c>
      <c r="I254" s="10" t="n">
        <v>2</v>
      </c>
      <c r="J254" s="10" t="inlineStr">
        <is>
          <t>Valid model input table preparation</t>
        </is>
      </c>
      <c r="K254" s="17" t="n"/>
      <c r="L254" s="17" t="n"/>
      <c r="M254" s="12" t="n">
        <v>0</v>
      </c>
      <c r="N254" s="14">
        <f>IF(OR(K254="",L254=""),"",ROUND((L254-K254)*1440-N(M254),1))</f>
        <v/>
      </c>
      <c r="O254" s="17" t="n"/>
      <c r="P254" s="17" t="n"/>
      <c r="Q254" s="14">
        <f>IF(OR(O254="",P254=""),"",ROUND((P254-O254)*1440,1))</f>
        <v/>
      </c>
      <c r="R254" s="12" t="n"/>
      <c r="S254" s="12" t="inlineStr">
        <is>
          <t>Not started</t>
        </is>
      </c>
      <c r="T254" s="12" t="n"/>
      <c r="U254" s="12" t="n"/>
    </row>
    <row r="255">
      <c r="A255" s="10" t="inlineStr">
        <is>
          <t>OBS-251</t>
        </is>
      </c>
      <c r="B255" s="16" t="n"/>
      <c r="C255" s="12" t="n"/>
      <c r="D255" s="12" t="n"/>
      <c r="E255" s="10" t="inlineStr">
        <is>
          <t>Auto</t>
        </is>
      </c>
      <c r="F255" s="10" t="inlineStr">
        <is>
          <t>Heat exchanger</t>
        </is>
      </c>
      <c r="G255" s="10" t="inlineStr">
        <is>
          <t>HX_03</t>
        </is>
      </c>
      <c r="H255" s="10" t="n">
        <v>3</v>
      </c>
      <c r="I255" s="10" t="n">
        <v>3</v>
      </c>
      <c r="J255" s="10" t="inlineStr">
        <is>
          <t>Modelica/FMU candidate setup</t>
        </is>
      </c>
      <c r="K255" s="17" t="n"/>
      <c r="L255" s="17" t="n"/>
      <c r="M255" s="12" t="n">
        <v>0</v>
      </c>
      <c r="N255" s="14">
        <f>IF(OR(K255="",L255=""),"",ROUND((L255-K255)*1440-N(M255),1))</f>
        <v/>
      </c>
      <c r="O255" s="17" t="n"/>
      <c r="P255" s="17" t="n"/>
      <c r="Q255" s="14">
        <f>IF(OR(O255="",P255=""),"",ROUND((P255-O255)*1440,1))</f>
        <v/>
      </c>
      <c r="R255" s="12" t="n"/>
      <c r="S255" s="12" t="inlineStr">
        <is>
          <t>Not started</t>
        </is>
      </c>
      <c r="T255" s="12" t="n"/>
      <c r="U255" s="12" t="n"/>
    </row>
    <row r="256">
      <c r="A256" s="10" t="inlineStr">
        <is>
          <t>OBS-252</t>
        </is>
      </c>
      <c r="B256" s="16" t="n"/>
      <c r="C256" s="12" t="n"/>
      <c r="D256" s="12" t="n"/>
      <c r="E256" s="10" t="inlineStr">
        <is>
          <t>Auto</t>
        </is>
      </c>
      <c r="F256" s="10" t="inlineStr">
        <is>
          <t>Heat exchanger</t>
        </is>
      </c>
      <c r="G256" s="10" t="inlineStr">
        <is>
          <t>HX_03</t>
        </is>
      </c>
      <c r="H256" s="10" t="n">
        <v>3</v>
      </c>
      <c r="I256" s="10" t="n">
        <v>4</v>
      </c>
      <c r="J256" s="10" t="inlineStr">
        <is>
          <t>FMU parameter search</t>
        </is>
      </c>
      <c r="K256" s="17" t="n"/>
      <c r="L256" s="17" t="n"/>
      <c r="M256" s="12" t="n">
        <v>0</v>
      </c>
      <c r="N256" s="14">
        <f>IF(OR(K256="",L256=""),"",ROUND((L256-K256)*1440-N(M256),1))</f>
        <v/>
      </c>
      <c r="O256" s="17" t="n"/>
      <c r="P256" s="17" t="n"/>
      <c r="Q256" s="14">
        <f>IF(OR(O256="",P256=""),"",ROUND((P256-O256)*1440,1))</f>
        <v/>
      </c>
      <c r="R256" s="12" t="n"/>
      <c r="S256" s="12" t="inlineStr">
        <is>
          <t>Not started</t>
        </is>
      </c>
      <c r="T256" s="12" t="n"/>
      <c r="U256" s="12" t="n"/>
    </row>
    <row r="257">
      <c r="A257" s="10" t="inlineStr">
        <is>
          <t>OBS-253</t>
        </is>
      </c>
      <c r="B257" s="16" t="n"/>
      <c r="C257" s="12" t="n"/>
      <c r="D257" s="12" t="n"/>
      <c r="E257" s="10" t="inlineStr">
        <is>
          <t>Auto</t>
        </is>
      </c>
      <c r="F257" s="10" t="inlineStr">
        <is>
          <t>Heat exchanger</t>
        </is>
      </c>
      <c r="G257" s="10" t="inlineStr">
        <is>
          <t>HX_03</t>
        </is>
      </c>
      <c r="H257" s="10" t="n">
        <v>3</v>
      </c>
      <c r="I257" s="10" t="n">
        <v>5</v>
      </c>
      <c r="J257" s="10" t="inlineStr">
        <is>
          <t>Full-period refinement and validation</t>
        </is>
      </c>
      <c r="K257" s="17" t="n"/>
      <c r="L257" s="17" t="n"/>
      <c r="M257" s="12" t="n">
        <v>0</v>
      </c>
      <c r="N257" s="14">
        <f>IF(OR(K257="",L257=""),"",ROUND((L257-K257)*1440-N(M257),1))</f>
        <v/>
      </c>
      <c r="O257" s="17" t="n"/>
      <c r="P257" s="17" t="n"/>
      <c r="Q257" s="14">
        <f>IF(OR(O257="",P257=""),"",ROUND((P257-O257)*1440,1))</f>
        <v/>
      </c>
      <c r="R257" s="12" t="n"/>
      <c r="S257" s="12" t="inlineStr">
        <is>
          <t>Not started</t>
        </is>
      </c>
      <c r="T257" s="12" t="n"/>
      <c r="U257" s="12" t="n"/>
    </row>
    <row r="258">
      <c r="A258" s="10" t="inlineStr">
        <is>
          <t>OBS-254</t>
        </is>
      </c>
      <c r="B258" s="16" t="n"/>
      <c r="C258" s="12" t="n"/>
      <c r="D258" s="12" t="n"/>
      <c r="E258" s="10" t="inlineStr">
        <is>
          <t>Auto</t>
        </is>
      </c>
      <c r="F258" s="10" t="inlineStr">
        <is>
          <t>Heat exchanger</t>
        </is>
      </c>
      <c r="G258" s="10" t="inlineStr">
        <is>
          <t>HX_03</t>
        </is>
      </c>
      <c r="H258" s="10" t="n">
        <v>3</v>
      </c>
      <c r="I258" s="10" t="n">
        <v>6</v>
      </c>
      <c r="J258" s="10" t="inlineStr">
        <is>
          <t>Paper tables and figures</t>
        </is>
      </c>
      <c r="K258" s="17" t="n"/>
      <c r="L258" s="17" t="n"/>
      <c r="M258" s="12" t="n">
        <v>0</v>
      </c>
      <c r="N258" s="14">
        <f>IF(OR(K258="",L258=""),"",ROUND((L258-K258)*1440-N(M258),1))</f>
        <v/>
      </c>
      <c r="O258" s="17" t="n"/>
      <c r="P258" s="17" t="n"/>
      <c r="Q258" s="14">
        <f>IF(OR(O258="",P258=""),"",ROUND((P258-O258)*1440,1))</f>
        <v/>
      </c>
      <c r="R258" s="12" t="n"/>
      <c r="S258" s="12" t="inlineStr">
        <is>
          <t>Not started</t>
        </is>
      </c>
      <c r="T258" s="12" t="n"/>
      <c r="U258" s="12" t="n"/>
    </row>
    <row r="259">
      <c r="A259" s="10" t="inlineStr">
        <is>
          <t>OBS-255</t>
        </is>
      </c>
      <c r="B259" s="16" t="n"/>
      <c r="C259" s="12" t="n"/>
      <c r="D259" s="12" t="n"/>
      <c r="E259" s="10" t="inlineStr">
        <is>
          <t>Auto</t>
        </is>
      </c>
      <c r="F259" s="10" t="inlineStr">
        <is>
          <t>Heat exchanger</t>
        </is>
      </c>
      <c r="G259" s="10" t="inlineStr">
        <is>
          <t>HX_03</t>
        </is>
      </c>
      <c r="H259" s="10" t="n">
        <v>3</v>
      </c>
      <c r="I259" s="15" t="n">
        <v>7</v>
      </c>
      <c r="J259" s="15" t="inlineStr">
        <is>
          <t>Observability and evidence-grade review</t>
        </is>
      </c>
      <c r="K259" s="17" t="n"/>
      <c r="L259" s="17" t="n"/>
      <c r="M259" s="12" t="n">
        <v>0</v>
      </c>
      <c r="N259" s="14">
        <f>IF(OR(K259="",L259=""),"",ROUND((L259-K259)*1440-N(M259),1))</f>
        <v/>
      </c>
      <c r="O259" s="17" t="n"/>
      <c r="P259" s="17" t="n"/>
      <c r="Q259" s="14">
        <f>IF(OR(O259="",P259=""),"",ROUND((P259-O259)*1440,1))</f>
        <v/>
      </c>
      <c r="R259" s="12" t="n"/>
      <c r="S259" s="12" t="inlineStr">
        <is>
          <t>Not started</t>
        </is>
      </c>
      <c r="T259" s="12" t="n"/>
      <c r="U259" s="12" t="n"/>
    </row>
    <row r="260">
      <c r="A260" s="10" t="inlineStr">
        <is>
          <t>OBS-256</t>
        </is>
      </c>
      <c r="B260" s="16" t="n"/>
      <c r="C260" s="12" t="n"/>
      <c r="D260" s="12" t="n"/>
      <c r="E260" s="10" t="inlineStr">
        <is>
          <t>Auto</t>
        </is>
      </c>
      <c r="F260" s="10" t="inlineStr">
        <is>
          <t>Heat exchanger</t>
        </is>
      </c>
      <c r="G260" s="10" t="inlineStr">
        <is>
          <t>HX_03</t>
        </is>
      </c>
      <c r="H260" s="10" t="n">
        <v>3</v>
      </c>
      <c r="I260" s="15" t="n">
        <v>8</v>
      </c>
      <c r="J260" s="15" t="inlineStr">
        <is>
          <t>Temporal split definition and audit</t>
        </is>
      </c>
      <c r="K260" s="17" t="n"/>
      <c r="L260" s="17" t="n"/>
      <c r="M260" s="12" t="n">
        <v>0</v>
      </c>
      <c r="N260" s="14">
        <f>IF(OR(K260="",L260=""),"",ROUND((L260-K260)*1440-N(M260),1))</f>
        <v/>
      </c>
      <c r="O260" s="17" t="n"/>
      <c r="P260" s="17" t="n"/>
      <c r="Q260" s="14">
        <f>IF(OR(O260="",P260=""),"",ROUND((P260-O260)*1440,1))</f>
        <v/>
      </c>
      <c r="R260" s="12" t="n"/>
      <c r="S260" s="12" t="inlineStr">
        <is>
          <t>Not started</t>
        </is>
      </c>
      <c r="T260" s="12" t="n"/>
      <c r="U260" s="12" t="n"/>
    </row>
  </sheetData>
  <autoFilter ref="A4:U260"/>
  <dataValidations count="1">
    <dataValidation sqref="S5:S260" showDropDown="0" showInputMessage="0" showErrorMessage="0" allowBlank="1" type="list">
      <formula1>"Not started,Complete,Partial,N/A,Reworked"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6"/>
  <sheetViews>
    <sheetView workbookViewId="0">
      <pane ySplit="4" topLeftCell="A5" activePane="bottomLeft" state="frozen"/>
      <selection pane="bottomLeft" activeCell="A1" sqref="A1"/>
    </sheetView>
  </sheetViews>
  <sheetFormatPr baseColWidth="8" defaultRowHeight="15"/>
  <cols>
    <col width="18" customWidth="1" min="1" max="1"/>
    <col width="12" customWidth="1" min="2" max="2"/>
    <col width="14" customWidth="1" min="3" max="3"/>
    <col width="46" customWidth="1" min="4" max="4"/>
    <col width="14" customWidth="1" min="5" max="5"/>
    <col width="12" customWidth="1" min="6" max="6"/>
    <col width="34" customWidth="1" min="7" max="7"/>
    <col width="30" customWidth="1" min="8" max="8"/>
  </cols>
  <sheetData>
    <row r="1">
      <c r="A1" s="1" t="inlineStr">
        <is>
          <t>Deliverable equivalence — the manual run must produce all of these too</t>
        </is>
      </c>
    </row>
    <row r="2">
      <c r="A2" s="9" t="inlineStr">
        <is>
          <t>A manual workflow that stops before these exist is not a comparison. Tick each one for both workflows as you go.</t>
        </is>
      </c>
    </row>
    <row r="4" ht="30" customHeight="1">
      <c r="A4" s="3" t="inlineStr">
        <is>
          <t>Family</t>
        </is>
      </c>
      <c r="B4" s="3" t="inlineStr">
        <is>
          <t>Device</t>
        </is>
      </c>
      <c r="C4" s="3" t="inlineStr">
        <is>
          <t>Role</t>
        </is>
      </c>
      <c r="D4" s="3" t="inlineStr">
        <is>
          <t>Deliverable</t>
        </is>
      </c>
      <c r="E4" s="3" t="inlineStr">
        <is>
          <t>Manual done</t>
        </is>
      </c>
      <c r="F4" s="3" t="inlineStr">
        <is>
          <t>Auto done</t>
        </is>
      </c>
      <c r="G4" s="3" t="inlineStr">
        <is>
          <t>Evidence path</t>
        </is>
      </c>
      <c r="H4" s="3" t="inlineStr">
        <is>
          <t>Notes</t>
        </is>
      </c>
    </row>
    <row r="5">
      <c r="A5" s="10" t="inlineStr">
        <is>
          <t>Chiller</t>
        </is>
      </c>
      <c r="B5" s="10" t="inlineStr">
        <is>
          <t>CH_01</t>
        </is>
      </c>
      <c r="C5" s="10" t="inlineStr">
        <is>
          <t>accepted_1</t>
        </is>
      </c>
      <c r="D5" s="10" t="inlineStr">
        <is>
          <t>Clean input table</t>
        </is>
      </c>
      <c r="E5" s="12" t="n"/>
      <c r="F5" s="12" t="n"/>
      <c r="G5" s="12" t="n"/>
      <c r="H5" s="12" t="n"/>
    </row>
    <row r="6">
      <c r="A6" s="10" t="inlineStr">
        <is>
          <t>Chiller</t>
        </is>
      </c>
      <c r="B6" s="10" t="inlineStr">
        <is>
          <t>CH_01</t>
        </is>
      </c>
      <c r="C6" s="10" t="inlineStr">
        <is>
          <t>accepted_1</t>
        </is>
      </c>
      <c r="D6" s="10" t="inlineStr">
        <is>
          <t>Candidate comparison / selection record</t>
        </is>
      </c>
      <c r="E6" s="12" t="n"/>
      <c r="F6" s="12" t="n"/>
      <c r="G6" s="12" t="n"/>
      <c r="H6" s="12" t="n"/>
    </row>
    <row r="7">
      <c r="A7" s="10" t="inlineStr">
        <is>
          <t>Chiller</t>
        </is>
      </c>
      <c r="B7" s="10" t="inlineStr">
        <is>
          <t>CH_01</t>
        </is>
      </c>
      <c r="C7" s="10" t="inlineStr">
        <is>
          <t>accepted_1</t>
        </is>
      </c>
      <c r="D7" s="10" t="inlineStr">
        <is>
          <t>Fitted parameter set</t>
        </is>
      </c>
      <c r="E7" s="12" t="n"/>
      <c r="F7" s="12" t="n"/>
      <c r="G7" s="12" t="n"/>
      <c r="H7" s="12" t="n"/>
    </row>
    <row r="8">
      <c r="A8" s="10" t="inlineStr">
        <is>
          <t>Chiller</t>
        </is>
      </c>
      <c r="B8" s="10" t="inlineStr">
        <is>
          <t>CH_01</t>
        </is>
      </c>
      <c r="C8" s="10" t="inlineStr">
        <is>
          <t>accepted_1</t>
        </is>
      </c>
      <c r="D8" s="10" t="inlineStr">
        <is>
          <t>Selected Modelica source</t>
        </is>
      </c>
      <c r="E8" s="12" t="n"/>
      <c r="F8" s="12" t="n"/>
      <c r="G8" s="12" t="n"/>
      <c r="H8" s="12" t="n"/>
    </row>
    <row r="9">
      <c r="A9" s="10" t="inlineStr">
        <is>
          <t>Chiller</t>
        </is>
      </c>
      <c r="B9" s="10" t="inlineStr">
        <is>
          <t>CH_01</t>
        </is>
      </c>
      <c r="C9" s="10" t="inlineStr">
        <is>
          <t>accepted_1</t>
        </is>
      </c>
      <c r="D9" s="10" t="inlineStr">
        <is>
          <t>Exported FMU</t>
        </is>
      </c>
      <c r="E9" s="12" t="n"/>
      <c r="F9" s="12" t="n"/>
      <c r="G9" s="12" t="n"/>
      <c r="H9" s="12" t="n"/>
    </row>
    <row r="10">
      <c r="A10" s="10" t="inlineStr">
        <is>
          <t>Chiller</t>
        </is>
      </c>
      <c r="B10" s="10" t="inlineStr">
        <is>
          <t>CH_01</t>
        </is>
      </c>
      <c r="C10" s="10" t="inlineStr">
        <is>
          <t>accepted_1</t>
        </is>
      </c>
      <c r="D10" s="10" t="inlineStr">
        <is>
          <t>Test-window and full-period metrics</t>
        </is>
      </c>
      <c r="E10" s="12" t="n"/>
      <c r="F10" s="12" t="n"/>
      <c r="G10" s="12" t="n"/>
      <c r="H10" s="12" t="n"/>
    </row>
    <row r="11">
      <c r="A11" s="10" t="inlineStr">
        <is>
          <t>Chiller</t>
        </is>
      </c>
      <c r="B11" s="10" t="inlineStr">
        <is>
          <t>CH_01</t>
        </is>
      </c>
      <c r="C11" s="10" t="inlineStr">
        <is>
          <t>accepted_1</t>
        </is>
      </c>
      <c r="D11" s="10" t="inlineStr">
        <is>
          <t>Time series / figure</t>
        </is>
      </c>
      <c r="E11" s="12" t="n"/>
      <c r="F11" s="12" t="n"/>
      <c r="G11" s="12" t="n"/>
      <c r="H11" s="12" t="n"/>
    </row>
    <row r="12">
      <c r="A12" s="10" t="inlineStr">
        <is>
          <t>Chiller</t>
        </is>
      </c>
      <c r="B12" s="10" t="inlineStr">
        <is>
          <t>CH_01</t>
        </is>
      </c>
      <c r="C12" s="10" t="inlineStr">
        <is>
          <t>accepted_1</t>
        </is>
      </c>
      <c r="D12" s="10" t="inlineStr">
        <is>
          <t>Artefact manifest</t>
        </is>
      </c>
      <c r="E12" s="12" t="n"/>
      <c r="F12" s="12" t="n"/>
      <c r="G12" s="12" t="n"/>
      <c r="H12" s="12" t="n"/>
    </row>
    <row r="13">
      <c r="A13" s="10" t="inlineStr">
        <is>
          <t>Chiller</t>
        </is>
      </c>
      <c r="B13" s="10" t="inlineStr">
        <is>
          <t>CH_03</t>
        </is>
      </c>
      <c r="C13" s="10" t="inlineStr">
        <is>
          <t>accepted_2</t>
        </is>
      </c>
      <c r="D13" s="10" t="inlineStr">
        <is>
          <t>Clean input table</t>
        </is>
      </c>
      <c r="E13" s="12" t="n"/>
      <c r="F13" s="12" t="n"/>
      <c r="G13" s="12" t="n"/>
      <c r="H13" s="12" t="n"/>
    </row>
    <row r="14">
      <c r="A14" s="10" t="inlineStr">
        <is>
          <t>Chiller</t>
        </is>
      </c>
      <c r="B14" s="10" t="inlineStr">
        <is>
          <t>CH_03</t>
        </is>
      </c>
      <c r="C14" s="10" t="inlineStr">
        <is>
          <t>accepted_2</t>
        </is>
      </c>
      <c r="D14" s="10" t="inlineStr">
        <is>
          <t>Candidate comparison / selection record</t>
        </is>
      </c>
      <c r="E14" s="12" t="n"/>
      <c r="F14" s="12" t="n"/>
      <c r="G14" s="12" t="n"/>
      <c r="H14" s="12" t="n"/>
    </row>
    <row r="15">
      <c r="A15" s="10" t="inlineStr">
        <is>
          <t>Chiller</t>
        </is>
      </c>
      <c r="B15" s="10" t="inlineStr">
        <is>
          <t>CH_03</t>
        </is>
      </c>
      <c r="C15" s="10" t="inlineStr">
        <is>
          <t>accepted_2</t>
        </is>
      </c>
      <c r="D15" s="10" t="inlineStr">
        <is>
          <t>Fitted parameter set</t>
        </is>
      </c>
      <c r="E15" s="12" t="n"/>
      <c r="F15" s="12" t="n"/>
      <c r="G15" s="12" t="n"/>
      <c r="H15" s="12" t="n"/>
    </row>
    <row r="16">
      <c r="A16" s="10" t="inlineStr">
        <is>
          <t>Chiller</t>
        </is>
      </c>
      <c r="B16" s="10" t="inlineStr">
        <is>
          <t>CH_03</t>
        </is>
      </c>
      <c r="C16" s="10" t="inlineStr">
        <is>
          <t>accepted_2</t>
        </is>
      </c>
      <c r="D16" s="10" t="inlineStr">
        <is>
          <t>Selected Modelica source</t>
        </is>
      </c>
      <c r="E16" s="12" t="n"/>
      <c r="F16" s="12" t="n"/>
      <c r="G16" s="12" t="n"/>
      <c r="H16" s="12" t="n"/>
    </row>
    <row r="17">
      <c r="A17" s="10" t="inlineStr">
        <is>
          <t>Chiller</t>
        </is>
      </c>
      <c r="B17" s="10" t="inlineStr">
        <is>
          <t>CH_03</t>
        </is>
      </c>
      <c r="C17" s="10" t="inlineStr">
        <is>
          <t>accepted_2</t>
        </is>
      </c>
      <c r="D17" s="10" t="inlineStr">
        <is>
          <t>Exported FMU</t>
        </is>
      </c>
      <c r="E17" s="12" t="n"/>
      <c r="F17" s="12" t="n"/>
      <c r="G17" s="12" t="n"/>
      <c r="H17" s="12" t="n"/>
    </row>
    <row r="18">
      <c r="A18" s="10" t="inlineStr">
        <is>
          <t>Chiller</t>
        </is>
      </c>
      <c r="B18" s="10" t="inlineStr">
        <is>
          <t>CH_03</t>
        </is>
      </c>
      <c r="C18" s="10" t="inlineStr">
        <is>
          <t>accepted_2</t>
        </is>
      </c>
      <c r="D18" s="10" t="inlineStr">
        <is>
          <t>Test-window and full-period metrics</t>
        </is>
      </c>
      <c r="E18" s="12" t="n"/>
      <c r="F18" s="12" t="n"/>
      <c r="G18" s="12" t="n"/>
      <c r="H18" s="12" t="n"/>
    </row>
    <row r="19">
      <c r="A19" s="10" t="inlineStr">
        <is>
          <t>Chiller</t>
        </is>
      </c>
      <c r="B19" s="10" t="inlineStr">
        <is>
          <t>CH_03</t>
        </is>
      </c>
      <c r="C19" s="10" t="inlineStr">
        <is>
          <t>accepted_2</t>
        </is>
      </c>
      <c r="D19" s="10" t="inlineStr">
        <is>
          <t>Time series / figure</t>
        </is>
      </c>
      <c r="E19" s="12" t="n"/>
      <c r="F19" s="12" t="n"/>
      <c r="G19" s="12" t="n"/>
      <c r="H19" s="12" t="n"/>
    </row>
    <row r="20">
      <c r="A20" s="10" t="inlineStr">
        <is>
          <t>Chiller</t>
        </is>
      </c>
      <c r="B20" s="10" t="inlineStr">
        <is>
          <t>CH_03</t>
        </is>
      </c>
      <c r="C20" s="10" t="inlineStr">
        <is>
          <t>accepted_2</t>
        </is>
      </c>
      <c r="D20" s="10" t="inlineStr">
        <is>
          <t>Artefact manifest</t>
        </is>
      </c>
      <c r="E20" s="12" t="n"/>
      <c r="F20" s="12" t="n"/>
      <c r="G20" s="12" t="n"/>
      <c r="H20" s="12" t="n"/>
    </row>
    <row r="21">
      <c r="A21" s="10" t="inlineStr">
        <is>
          <t>Chiller</t>
        </is>
      </c>
      <c r="B21" s="10" t="inlineStr">
        <is>
          <t>CH_05</t>
        </is>
      </c>
      <c r="C21" s="10" t="inlineStr">
        <is>
          <t>blocked</t>
        </is>
      </c>
      <c r="D21" s="10" t="inlineStr">
        <is>
          <t>QA / blocker manifest naming the missing evidence</t>
        </is>
      </c>
      <c r="E21" s="12" t="n"/>
      <c r="F21" s="12" t="n"/>
      <c r="G21" s="12" t="n"/>
      <c r="H21" s="12" t="n"/>
    </row>
    <row r="22">
      <c r="A22" s="10" t="inlineStr">
        <is>
          <t>Chiller</t>
        </is>
      </c>
      <c r="B22" s="10" t="inlineStr">
        <is>
          <t>CH_05</t>
        </is>
      </c>
      <c r="C22" s="10" t="inlineStr">
        <is>
          <t>blocked</t>
        </is>
      </c>
      <c r="D22" s="10" t="inlineStr">
        <is>
          <t>Explicit statement that no validated model or FMU is claimed</t>
        </is>
      </c>
      <c r="E22" s="12" t="n"/>
      <c r="F22" s="12" t="n"/>
      <c r="G22" s="12" t="n"/>
      <c r="H22" s="12" t="n"/>
    </row>
    <row r="23">
      <c r="A23" s="10" t="inlineStr">
        <is>
          <t>Cooling tower</t>
        </is>
      </c>
      <c r="B23" s="10" t="inlineStr">
        <is>
          <t>CT_01</t>
        </is>
      </c>
      <c r="C23" s="10" t="inlineStr">
        <is>
          <t>accepted_1</t>
        </is>
      </c>
      <c r="D23" s="10" t="inlineStr">
        <is>
          <t>Clean input table</t>
        </is>
      </c>
      <c r="E23" s="12" t="n"/>
      <c r="F23" s="12" t="n"/>
      <c r="G23" s="12" t="n"/>
      <c r="H23" s="12" t="n"/>
    </row>
    <row r="24">
      <c r="A24" s="10" t="inlineStr">
        <is>
          <t>Cooling tower</t>
        </is>
      </c>
      <c r="B24" s="10" t="inlineStr">
        <is>
          <t>CT_01</t>
        </is>
      </c>
      <c r="C24" s="10" t="inlineStr">
        <is>
          <t>accepted_1</t>
        </is>
      </c>
      <c r="D24" s="10" t="inlineStr">
        <is>
          <t>Candidate comparison / selection record</t>
        </is>
      </c>
      <c r="E24" s="12" t="n"/>
      <c r="F24" s="12" t="n"/>
      <c r="G24" s="12" t="n"/>
      <c r="H24" s="12" t="n"/>
    </row>
    <row r="25">
      <c r="A25" s="10" t="inlineStr">
        <is>
          <t>Cooling tower</t>
        </is>
      </c>
      <c r="B25" s="10" t="inlineStr">
        <is>
          <t>CT_01</t>
        </is>
      </c>
      <c r="C25" s="10" t="inlineStr">
        <is>
          <t>accepted_1</t>
        </is>
      </c>
      <c r="D25" s="10" t="inlineStr">
        <is>
          <t>Fitted parameter set</t>
        </is>
      </c>
      <c r="E25" s="12" t="n"/>
      <c r="F25" s="12" t="n"/>
      <c r="G25" s="12" t="n"/>
      <c r="H25" s="12" t="n"/>
    </row>
    <row r="26">
      <c r="A26" s="10" t="inlineStr">
        <is>
          <t>Cooling tower</t>
        </is>
      </c>
      <c r="B26" s="10" t="inlineStr">
        <is>
          <t>CT_01</t>
        </is>
      </c>
      <c r="C26" s="10" t="inlineStr">
        <is>
          <t>accepted_1</t>
        </is>
      </c>
      <c r="D26" s="10" t="inlineStr">
        <is>
          <t>Selected Modelica source</t>
        </is>
      </c>
      <c r="E26" s="12" t="n"/>
      <c r="F26" s="12" t="n"/>
      <c r="G26" s="12" t="n"/>
      <c r="H26" s="12" t="n"/>
    </row>
    <row r="27">
      <c r="A27" s="10" t="inlineStr">
        <is>
          <t>Cooling tower</t>
        </is>
      </c>
      <c r="B27" s="10" t="inlineStr">
        <is>
          <t>CT_01</t>
        </is>
      </c>
      <c r="C27" s="10" t="inlineStr">
        <is>
          <t>accepted_1</t>
        </is>
      </c>
      <c r="D27" s="10" t="inlineStr">
        <is>
          <t>Exported FMU</t>
        </is>
      </c>
      <c r="E27" s="12" t="n"/>
      <c r="F27" s="12" t="n"/>
      <c r="G27" s="12" t="n"/>
      <c r="H27" s="12" t="n"/>
    </row>
    <row r="28">
      <c r="A28" s="10" t="inlineStr">
        <is>
          <t>Cooling tower</t>
        </is>
      </c>
      <c r="B28" s="10" t="inlineStr">
        <is>
          <t>CT_01</t>
        </is>
      </c>
      <c r="C28" s="10" t="inlineStr">
        <is>
          <t>accepted_1</t>
        </is>
      </c>
      <c r="D28" s="10" t="inlineStr">
        <is>
          <t>Test-window and full-period metrics</t>
        </is>
      </c>
      <c r="E28" s="12" t="n"/>
      <c r="F28" s="12" t="n"/>
      <c r="G28" s="12" t="n"/>
      <c r="H28" s="12" t="n"/>
    </row>
    <row r="29">
      <c r="A29" s="10" t="inlineStr">
        <is>
          <t>Cooling tower</t>
        </is>
      </c>
      <c r="B29" s="10" t="inlineStr">
        <is>
          <t>CT_01</t>
        </is>
      </c>
      <c r="C29" s="10" t="inlineStr">
        <is>
          <t>accepted_1</t>
        </is>
      </c>
      <c r="D29" s="10" t="inlineStr">
        <is>
          <t>Time series / figure</t>
        </is>
      </c>
      <c r="E29" s="12" t="n"/>
      <c r="F29" s="12" t="n"/>
      <c r="G29" s="12" t="n"/>
      <c r="H29" s="12" t="n"/>
    </row>
    <row r="30">
      <c r="A30" s="10" t="inlineStr">
        <is>
          <t>Cooling tower</t>
        </is>
      </c>
      <c r="B30" s="10" t="inlineStr">
        <is>
          <t>CT_01</t>
        </is>
      </c>
      <c r="C30" s="10" t="inlineStr">
        <is>
          <t>accepted_1</t>
        </is>
      </c>
      <c r="D30" s="10" t="inlineStr">
        <is>
          <t>Artefact manifest</t>
        </is>
      </c>
      <c r="E30" s="12" t="n"/>
      <c r="F30" s="12" t="n"/>
      <c r="G30" s="12" t="n"/>
      <c r="H30" s="12" t="n"/>
    </row>
    <row r="31">
      <c r="A31" s="10" t="inlineStr">
        <is>
          <t>Cooling tower</t>
        </is>
      </c>
      <c r="B31" s="10" t="inlineStr">
        <is>
          <t>CT_05</t>
        </is>
      </c>
      <c r="C31" s="10" t="inlineStr">
        <is>
          <t>accepted_2</t>
        </is>
      </c>
      <c r="D31" s="10" t="inlineStr">
        <is>
          <t>Clean input table</t>
        </is>
      </c>
      <c r="E31" s="12" t="n"/>
      <c r="F31" s="12" t="n"/>
      <c r="G31" s="12" t="n"/>
      <c r="H31" s="12" t="n"/>
    </row>
    <row r="32">
      <c r="A32" s="10" t="inlineStr">
        <is>
          <t>Cooling tower</t>
        </is>
      </c>
      <c r="B32" s="10" t="inlineStr">
        <is>
          <t>CT_05</t>
        </is>
      </c>
      <c r="C32" s="10" t="inlineStr">
        <is>
          <t>accepted_2</t>
        </is>
      </c>
      <c r="D32" s="10" t="inlineStr">
        <is>
          <t>Candidate comparison / selection record</t>
        </is>
      </c>
      <c r="E32" s="12" t="n"/>
      <c r="F32" s="12" t="n"/>
      <c r="G32" s="12" t="n"/>
      <c r="H32" s="12" t="n"/>
    </row>
    <row r="33">
      <c r="A33" s="10" t="inlineStr">
        <is>
          <t>Cooling tower</t>
        </is>
      </c>
      <c r="B33" s="10" t="inlineStr">
        <is>
          <t>CT_05</t>
        </is>
      </c>
      <c r="C33" s="10" t="inlineStr">
        <is>
          <t>accepted_2</t>
        </is>
      </c>
      <c r="D33" s="10" t="inlineStr">
        <is>
          <t>Fitted parameter set</t>
        </is>
      </c>
      <c r="E33" s="12" t="n"/>
      <c r="F33" s="12" t="n"/>
      <c r="G33" s="12" t="n"/>
      <c r="H33" s="12" t="n"/>
    </row>
    <row r="34">
      <c r="A34" s="10" t="inlineStr">
        <is>
          <t>Cooling tower</t>
        </is>
      </c>
      <c r="B34" s="10" t="inlineStr">
        <is>
          <t>CT_05</t>
        </is>
      </c>
      <c r="C34" s="10" t="inlineStr">
        <is>
          <t>accepted_2</t>
        </is>
      </c>
      <c r="D34" s="10" t="inlineStr">
        <is>
          <t>Selected Modelica source</t>
        </is>
      </c>
      <c r="E34" s="12" t="n"/>
      <c r="F34" s="12" t="n"/>
      <c r="G34" s="12" t="n"/>
      <c r="H34" s="12" t="n"/>
    </row>
    <row r="35">
      <c r="A35" s="10" t="inlineStr">
        <is>
          <t>Cooling tower</t>
        </is>
      </c>
      <c r="B35" s="10" t="inlineStr">
        <is>
          <t>CT_05</t>
        </is>
      </c>
      <c r="C35" s="10" t="inlineStr">
        <is>
          <t>accepted_2</t>
        </is>
      </c>
      <c r="D35" s="10" t="inlineStr">
        <is>
          <t>Exported FMU</t>
        </is>
      </c>
      <c r="E35" s="12" t="n"/>
      <c r="F35" s="12" t="n"/>
      <c r="G35" s="12" t="n"/>
      <c r="H35" s="12" t="n"/>
    </row>
    <row r="36">
      <c r="A36" s="10" t="inlineStr">
        <is>
          <t>Cooling tower</t>
        </is>
      </c>
      <c r="B36" s="10" t="inlineStr">
        <is>
          <t>CT_05</t>
        </is>
      </c>
      <c r="C36" s="10" t="inlineStr">
        <is>
          <t>accepted_2</t>
        </is>
      </c>
      <c r="D36" s="10" t="inlineStr">
        <is>
          <t>Test-window and full-period metrics</t>
        </is>
      </c>
      <c r="E36" s="12" t="n"/>
      <c r="F36" s="12" t="n"/>
      <c r="G36" s="12" t="n"/>
      <c r="H36" s="12" t="n"/>
    </row>
    <row r="37">
      <c r="A37" s="10" t="inlineStr">
        <is>
          <t>Cooling tower</t>
        </is>
      </c>
      <c r="B37" s="10" t="inlineStr">
        <is>
          <t>CT_05</t>
        </is>
      </c>
      <c r="C37" s="10" t="inlineStr">
        <is>
          <t>accepted_2</t>
        </is>
      </c>
      <c r="D37" s="10" t="inlineStr">
        <is>
          <t>Time series / figure</t>
        </is>
      </c>
      <c r="E37" s="12" t="n"/>
      <c r="F37" s="12" t="n"/>
      <c r="G37" s="12" t="n"/>
      <c r="H37" s="12" t="n"/>
    </row>
    <row r="38">
      <c r="A38" s="10" t="inlineStr">
        <is>
          <t>Cooling tower</t>
        </is>
      </c>
      <c r="B38" s="10" t="inlineStr">
        <is>
          <t>CT_05</t>
        </is>
      </c>
      <c r="C38" s="10" t="inlineStr">
        <is>
          <t>accepted_2</t>
        </is>
      </c>
      <c r="D38" s="10" t="inlineStr">
        <is>
          <t>Artefact manifest</t>
        </is>
      </c>
      <c r="E38" s="12" t="n"/>
      <c r="F38" s="12" t="n"/>
      <c r="G38" s="12" t="n"/>
      <c r="H38" s="12" t="n"/>
    </row>
    <row r="39">
      <c r="A39" s="10" t="inlineStr">
        <is>
          <t>Cooling tower</t>
        </is>
      </c>
      <c r="B39" s="10" t="inlineStr">
        <is>
          <t>CT_02</t>
        </is>
      </c>
      <c r="C39" s="10" t="inlineStr">
        <is>
          <t>blocked</t>
        </is>
      </c>
      <c r="D39" s="10" t="inlineStr">
        <is>
          <t>QA / blocker manifest naming the missing evidence</t>
        </is>
      </c>
      <c r="E39" s="12" t="n"/>
      <c r="F39" s="12" t="n"/>
      <c r="G39" s="12" t="n"/>
      <c r="H39" s="12" t="n"/>
    </row>
    <row r="40">
      <c r="A40" s="10" t="inlineStr">
        <is>
          <t>Cooling tower</t>
        </is>
      </c>
      <c r="B40" s="10" t="inlineStr">
        <is>
          <t>CT_02</t>
        </is>
      </c>
      <c r="C40" s="10" t="inlineStr">
        <is>
          <t>blocked</t>
        </is>
      </c>
      <c r="D40" s="10" t="inlineStr">
        <is>
          <t>Explicit statement that no validated model or FMU is claimed</t>
        </is>
      </c>
      <c r="E40" s="12" t="n"/>
      <c r="F40" s="12" t="n"/>
      <c r="G40" s="12" t="n"/>
      <c r="H40" s="12" t="n"/>
    </row>
    <row r="41">
      <c r="A41" s="10" t="inlineStr">
        <is>
          <t>Pump</t>
        </is>
      </c>
      <c r="B41" s="10" t="inlineStr">
        <is>
          <t>CDWP_03</t>
        </is>
      </c>
      <c r="C41" s="10" t="inlineStr">
        <is>
          <t>accepted_1</t>
        </is>
      </c>
      <c r="D41" s="10" t="inlineStr">
        <is>
          <t>Clean input table</t>
        </is>
      </c>
      <c r="E41" s="12" t="n"/>
      <c r="F41" s="12" t="n"/>
      <c r="G41" s="12" t="n"/>
      <c r="H41" s="12" t="n"/>
    </row>
    <row r="42">
      <c r="A42" s="10" t="inlineStr">
        <is>
          <t>Pump</t>
        </is>
      </c>
      <c r="B42" s="10" t="inlineStr">
        <is>
          <t>CDWP_03</t>
        </is>
      </c>
      <c r="C42" s="10" t="inlineStr">
        <is>
          <t>accepted_1</t>
        </is>
      </c>
      <c r="D42" s="10" t="inlineStr">
        <is>
          <t>Candidate comparison / selection record</t>
        </is>
      </c>
      <c r="E42" s="12" t="n"/>
      <c r="F42" s="12" t="n"/>
      <c r="G42" s="12" t="n"/>
      <c r="H42" s="12" t="n"/>
    </row>
    <row r="43">
      <c r="A43" s="10" t="inlineStr">
        <is>
          <t>Pump</t>
        </is>
      </c>
      <c r="B43" s="10" t="inlineStr">
        <is>
          <t>CDWP_03</t>
        </is>
      </c>
      <c r="C43" s="10" t="inlineStr">
        <is>
          <t>accepted_1</t>
        </is>
      </c>
      <c r="D43" s="10" t="inlineStr">
        <is>
          <t>Fitted parameter set</t>
        </is>
      </c>
      <c r="E43" s="12" t="n"/>
      <c r="F43" s="12" t="n"/>
      <c r="G43" s="12" t="n"/>
      <c r="H43" s="12" t="n"/>
    </row>
    <row r="44">
      <c r="A44" s="10" t="inlineStr">
        <is>
          <t>Pump</t>
        </is>
      </c>
      <c r="B44" s="10" t="inlineStr">
        <is>
          <t>CDWP_03</t>
        </is>
      </c>
      <c r="C44" s="10" t="inlineStr">
        <is>
          <t>accepted_1</t>
        </is>
      </c>
      <c r="D44" s="10" t="inlineStr">
        <is>
          <t>Selected Modelica source</t>
        </is>
      </c>
      <c r="E44" s="12" t="n"/>
      <c r="F44" s="12" t="n"/>
      <c r="G44" s="12" t="n"/>
      <c r="H44" s="12" t="n"/>
    </row>
    <row r="45">
      <c r="A45" s="10" t="inlineStr">
        <is>
          <t>Pump</t>
        </is>
      </c>
      <c r="B45" s="10" t="inlineStr">
        <is>
          <t>CDWP_03</t>
        </is>
      </c>
      <c r="C45" s="10" t="inlineStr">
        <is>
          <t>accepted_1</t>
        </is>
      </c>
      <c r="D45" s="10" t="inlineStr">
        <is>
          <t>Exported FMU</t>
        </is>
      </c>
      <c r="E45" s="12" t="n"/>
      <c r="F45" s="12" t="n"/>
      <c r="G45" s="12" t="n"/>
      <c r="H45" s="12" t="n"/>
    </row>
    <row r="46">
      <c r="A46" s="10" t="inlineStr">
        <is>
          <t>Pump</t>
        </is>
      </c>
      <c r="B46" s="10" t="inlineStr">
        <is>
          <t>CDWP_03</t>
        </is>
      </c>
      <c r="C46" s="10" t="inlineStr">
        <is>
          <t>accepted_1</t>
        </is>
      </c>
      <c r="D46" s="10" t="inlineStr">
        <is>
          <t>Test-window and full-period metrics</t>
        </is>
      </c>
      <c r="E46" s="12" t="n"/>
      <c r="F46" s="12" t="n"/>
      <c r="G46" s="12" t="n"/>
      <c r="H46" s="12" t="n"/>
    </row>
    <row r="47">
      <c r="A47" s="10" t="inlineStr">
        <is>
          <t>Pump</t>
        </is>
      </c>
      <c r="B47" s="10" t="inlineStr">
        <is>
          <t>CDWP_03</t>
        </is>
      </c>
      <c r="C47" s="10" t="inlineStr">
        <is>
          <t>accepted_1</t>
        </is>
      </c>
      <c r="D47" s="10" t="inlineStr">
        <is>
          <t>Time series / figure</t>
        </is>
      </c>
      <c r="E47" s="12" t="n"/>
      <c r="F47" s="12" t="n"/>
      <c r="G47" s="12" t="n"/>
      <c r="H47" s="12" t="n"/>
    </row>
    <row r="48">
      <c r="A48" s="10" t="inlineStr">
        <is>
          <t>Pump</t>
        </is>
      </c>
      <c r="B48" s="10" t="inlineStr">
        <is>
          <t>CDWP_03</t>
        </is>
      </c>
      <c r="C48" s="10" t="inlineStr">
        <is>
          <t>accepted_1</t>
        </is>
      </c>
      <c r="D48" s="10" t="inlineStr">
        <is>
          <t>Artefact manifest</t>
        </is>
      </c>
      <c r="E48" s="12" t="n"/>
      <c r="F48" s="12" t="n"/>
      <c r="G48" s="12" t="n"/>
      <c r="H48" s="12" t="n"/>
    </row>
    <row r="49">
      <c r="A49" s="10" t="inlineStr">
        <is>
          <t>Pump</t>
        </is>
      </c>
      <c r="B49" s="10" t="inlineStr">
        <is>
          <t>CHWP_01</t>
        </is>
      </c>
      <c r="C49" s="10" t="inlineStr">
        <is>
          <t>accepted_2</t>
        </is>
      </c>
      <c r="D49" s="10" t="inlineStr">
        <is>
          <t>Clean input table</t>
        </is>
      </c>
      <c r="E49" s="12" t="n"/>
      <c r="F49" s="12" t="n"/>
      <c r="G49" s="12" t="n"/>
      <c r="H49" s="12" t="n"/>
    </row>
    <row r="50">
      <c r="A50" s="10" t="inlineStr">
        <is>
          <t>Pump</t>
        </is>
      </c>
      <c r="B50" s="10" t="inlineStr">
        <is>
          <t>CHWP_01</t>
        </is>
      </c>
      <c r="C50" s="10" t="inlineStr">
        <is>
          <t>accepted_2</t>
        </is>
      </c>
      <c r="D50" s="10" t="inlineStr">
        <is>
          <t>Candidate comparison / selection record</t>
        </is>
      </c>
      <c r="E50" s="12" t="n"/>
      <c r="F50" s="12" t="n"/>
      <c r="G50" s="12" t="n"/>
      <c r="H50" s="12" t="n"/>
    </row>
    <row r="51">
      <c r="A51" s="10" t="inlineStr">
        <is>
          <t>Pump</t>
        </is>
      </c>
      <c r="B51" s="10" t="inlineStr">
        <is>
          <t>CHWP_01</t>
        </is>
      </c>
      <c r="C51" s="10" t="inlineStr">
        <is>
          <t>accepted_2</t>
        </is>
      </c>
      <c r="D51" s="10" t="inlineStr">
        <is>
          <t>Fitted parameter set</t>
        </is>
      </c>
      <c r="E51" s="12" t="n"/>
      <c r="F51" s="12" t="n"/>
      <c r="G51" s="12" t="n"/>
      <c r="H51" s="12" t="n"/>
    </row>
    <row r="52">
      <c r="A52" s="10" t="inlineStr">
        <is>
          <t>Pump</t>
        </is>
      </c>
      <c r="B52" s="10" t="inlineStr">
        <is>
          <t>CHWP_01</t>
        </is>
      </c>
      <c r="C52" s="10" t="inlineStr">
        <is>
          <t>accepted_2</t>
        </is>
      </c>
      <c r="D52" s="10" t="inlineStr">
        <is>
          <t>Selected Modelica source</t>
        </is>
      </c>
      <c r="E52" s="12" t="n"/>
      <c r="F52" s="12" t="n"/>
      <c r="G52" s="12" t="n"/>
      <c r="H52" s="12" t="n"/>
    </row>
    <row r="53">
      <c r="A53" s="10" t="inlineStr">
        <is>
          <t>Pump</t>
        </is>
      </c>
      <c r="B53" s="10" t="inlineStr">
        <is>
          <t>CHWP_01</t>
        </is>
      </c>
      <c r="C53" s="10" t="inlineStr">
        <is>
          <t>accepted_2</t>
        </is>
      </c>
      <c r="D53" s="10" t="inlineStr">
        <is>
          <t>Exported FMU</t>
        </is>
      </c>
      <c r="E53" s="12" t="n"/>
      <c r="F53" s="12" t="n"/>
      <c r="G53" s="12" t="n"/>
      <c r="H53" s="12" t="n"/>
    </row>
    <row r="54">
      <c r="A54" s="10" t="inlineStr">
        <is>
          <t>Pump</t>
        </is>
      </c>
      <c r="B54" s="10" t="inlineStr">
        <is>
          <t>CHWP_01</t>
        </is>
      </c>
      <c r="C54" s="10" t="inlineStr">
        <is>
          <t>accepted_2</t>
        </is>
      </c>
      <c r="D54" s="10" t="inlineStr">
        <is>
          <t>Test-window and full-period metrics</t>
        </is>
      </c>
      <c r="E54" s="12" t="n"/>
      <c r="F54" s="12" t="n"/>
      <c r="G54" s="12" t="n"/>
      <c r="H54" s="12" t="n"/>
    </row>
    <row r="55">
      <c r="A55" s="10" t="inlineStr">
        <is>
          <t>Pump</t>
        </is>
      </c>
      <c r="B55" s="10" t="inlineStr">
        <is>
          <t>CHWP_01</t>
        </is>
      </c>
      <c r="C55" s="10" t="inlineStr">
        <is>
          <t>accepted_2</t>
        </is>
      </c>
      <c r="D55" s="10" t="inlineStr">
        <is>
          <t>Time series / figure</t>
        </is>
      </c>
      <c r="E55" s="12" t="n"/>
      <c r="F55" s="12" t="n"/>
      <c r="G55" s="12" t="n"/>
      <c r="H55" s="12" t="n"/>
    </row>
    <row r="56">
      <c r="A56" s="10" t="inlineStr">
        <is>
          <t>Pump</t>
        </is>
      </c>
      <c r="B56" s="10" t="inlineStr">
        <is>
          <t>CHWP_01</t>
        </is>
      </c>
      <c r="C56" s="10" t="inlineStr">
        <is>
          <t>accepted_2</t>
        </is>
      </c>
      <c r="D56" s="10" t="inlineStr">
        <is>
          <t>Artefact manifest</t>
        </is>
      </c>
      <c r="E56" s="12" t="n"/>
      <c r="F56" s="12" t="n"/>
      <c r="G56" s="12" t="n"/>
      <c r="H56" s="12" t="n"/>
    </row>
    <row r="57">
      <c r="A57" s="10" t="inlineStr">
        <is>
          <t>Pump</t>
        </is>
      </c>
      <c r="B57" s="10" t="inlineStr">
        <is>
          <t>CDWP_02</t>
        </is>
      </c>
      <c r="C57" s="10" t="inlineStr">
        <is>
          <t>blocked</t>
        </is>
      </c>
      <c r="D57" s="10" t="inlineStr">
        <is>
          <t>QA / blocker manifest naming the missing evidence</t>
        </is>
      </c>
      <c r="E57" s="12" t="n"/>
      <c r="F57" s="12" t="n"/>
      <c r="G57" s="12" t="n"/>
      <c r="H57" s="12" t="n"/>
    </row>
    <row r="58">
      <c r="A58" s="10" t="inlineStr">
        <is>
          <t>Pump</t>
        </is>
      </c>
      <c r="B58" s="10" t="inlineStr">
        <is>
          <t>CDWP_02</t>
        </is>
      </c>
      <c r="C58" s="10" t="inlineStr">
        <is>
          <t>blocked</t>
        </is>
      </c>
      <c r="D58" s="10" t="inlineStr">
        <is>
          <t>Explicit statement that no validated model or FMU is claimed</t>
        </is>
      </c>
      <c r="E58" s="12" t="n"/>
      <c r="F58" s="12" t="n"/>
      <c r="G58" s="12" t="n"/>
      <c r="H58" s="12" t="n"/>
    </row>
    <row r="59">
      <c r="A59" s="10" t="inlineStr">
        <is>
          <t>Heat exchanger</t>
        </is>
      </c>
      <c r="B59" s="10" t="inlineStr">
        <is>
          <t>HX_01</t>
        </is>
      </c>
      <c r="C59" s="10" t="inlineStr">
        <is>
          <t>accepted_1</t>
        </is>
      </c>
      <c r="D59" s="10" t="inlineStr">
        <is>
          <t>Clean input table</t>
        </is>
      </c>
      <c r="E59" s="12" t="n"/>
      <c r="F59" s="12" t="n"/>
      <c r="G59" s="12" t="n"/>
      <c r="H59" s="12" t="n"/>
    </row>
    <row r="60">
      <c r="A60" s="10" t="inlineStr">
        <is>
          <t>Heat exchanger</t>
        </is>
      </c>
      <c r="B60" s="10" t="inlineStr">
        <is>
          <t>HX_01</t>
        </is>
      </c>
      <c r="C60" s="10" t="inlineStr">
        <is>
          <t>accepted_1</t>
        </is>
      </c>
      <c r="D60" s="10" t="inlineStr">
        <is>
          <t>Candidate comparison / selection record</t>
        </is>
      </c>
      <c r="E60" s="12" t="n"/>
      <c r="F60" s="12" t="n"/>
      <c r="G60" s="12" t="n"/>
      <c r="H60" s="12" t="n"/>
    </row>
    <row r="61">
      <c r="A61" s="10" t="inlineStr">
        <is>
          <t>Heat exchanger</t>
        </is>
      </c>
      <c r="B61" s="10" t="inlineStr">
        <is>
          <t>HX_01</t>
        </is>
      </c>
      <c r="C61" s="10" t="inlineStr">
        <is>
          <t>accepted_1</t>
        </is>
      </c>
      <c r="D61" s="10" t="inlineStr">
        <is>
          <t>Fitted parameter set</t>
        </is>
      </c>
      <c r="E61" s="12" t="n"/>
      <c r="F61" s="12" t="n"/>
      <c r="G61" s="12" t="n"/>
      <c r="H61" s="12" t="n"/>
    </row>
    <row r="62">
      <c r="A62" s="10" t="inlineStr">
        <is>
          <t>Heat exchanger</t>
        </is>
      </c>
      <c r="B62" s="10" t="inlineStr">
        <is>
          <t>HX_01</t>
        </is>
      </c>
      <c r="C62" s="10" t="inlineStr">
        <is>
          <t>accepted_1</t>
        </is>
      </c>
      <c r="D62" s="10" t="inlineStr">
        <is>
          <t>Selected Modelica source</t>
        </is>
      </c>
      <c r="E62" s="12" t="n"/>
      <c r="F62" s="12" t="n"/>
      <c r="G62" s="12" t="n"/>
      <c r="H62" s="12" t="n"/>
    </row>
    <row r="63">
      <c r="A63" s="10" t="inlineStr">
        <is>
          <t>Heat exchanger</t>
        </is>
      </c>
      <c r="B63" s="10" t="inlineStr">
        <is>
          <t>HX_01</t>
        </is>
      </c>
      <c r="C63" s="10" t="inlineStr">
        <is>
          <t>accepted_1</t>
        </is>
      </c>
      <c r="D63" s="10" t="inlineStr">
        <is>
          <t>Exported FMU</t>
        </is>
      </c>
      <c r="E63" s="12" t="n"/>
      <c r="F63" s="12" t="n"/>
      <c r="G63" s="12" t="n"/>
      <c r="H63" s="12" t="n"/>
    </row>
    <row r="64">
      <c r="A64" s="10" t="inlineStr">
        <is>
          <t>Heat exchanger</t>
        </is>
      </c>
      <c r="B64" s="10" t="inlineStr">
        <is>
          <t>HX_01</t>
        </is>
      </c>
      <c r="C64" s="10" t="inlineStr">
        <is>
          <t>accepted_1</t>
        </is>
      </c>
      <c r="D64" s="10" t="inlineStr">
        <is>
          <t>Test-window and full-period metrics</t>
        </is>
      </c>
      <c r="E64" s="12" t="n"/>
      <c r="F64" s="12" t="n"/>
      <c r="G64" s="12" t="n"/>
      <c r="H64" s="12" t="n"/>
    </row>
    <row r="65">
      <c r="A65" s="10" t="inlineStr">
        <is>
          <t>Heat exchanger</t>
        </is>
      </c>
      <c r="B65" s="10" t="inlineStr">
        <is>
          <t>HX_01</t>
        </is>
      </c>
      <c r="C65" s="10" t="inlineStr">
        <is>
          <t>accepted_1</t>
        </is>
      </c>
      <c r="D65" s="10" t="inlineStr">
        <is>
          <t>Time series / figure</t>
        </is>
      </c>
      <c r="E65" s="12" t="n"/>
      <c r="F65" s="12" t="n"/>
      <c r="G65" s="12" t="n"/>
      <c r="H65" s="12" t="n"/>
    </row>
    <row r="66">
      <c r="A66" s="10" t="inlineStr">
        <is>
          <t>Heat exchanger</t>
        </is>
      </c>
      <c r="B66" s="10" t="inlineStr">
        <is>
          <t>HX_01</t>
        </is>
      </c>
      <c r="C66" s="10" t="inlineStr">
        <is>
          <t>accepted_1</t>
        </is>
      </c>
      <c r="D66" s="10" t="inlineStr">
        <is>
          <t>Artefact manifest</t>
        </is>
      </c>
      <c r="E66" s="12" t="n"/>
      <c r="F66" s="12" t="n"/>
      <c r="G66" s="12" t="n"/>
      <c r="H66" s="12" t="n"/>
    </row>
    <row r="67">
      <c r="A67" s="10" t="inlineStr">
        <is>
          <t>Heat exchanger</t>
        </is>
      </c>
      <c r="B67" s="10" t="inlineStr">
        <is>
          <t>HX_02</t>
        </is>
      </c>
      <c r="C67" s="10" t="inlineStr">
        <is>
          <t>accepted_2</t>
        </is>
      </c>
      <c r="D67" s="10" t="inlineStr">
        <is>
          <t>Clean input table</t>
        </is>
      </c>
      <c r="E67" s="12" t="n"/>
      <c r="F67" s="12" t="n"/>
      <c r="G67" s="12" t="n"/>
      <c r="H67" s="12" t="n"/>
    </row>
    <row r="68">
      <c r="A68" s="10" t="inlineStr">
        <is>
          <t>Heat exchanger</t>
        </is>
      </c>
      <c r="B68" s="10" t="inlineStr">
        <is>
          <t>HX_02</t>
        </is>
      </c>
      <c r="C68" s="10" t="inlineStr">
        <is>
          <t>accepted_2</t>
        </is>
      </c>
      <c r="D68" s="10" t="inlineStr">
        <is>
          <t>Candidate comparison / selection record</t>
        </is>
      </c>
      <c r="E68" s="12" t="n"/>
      <c r="F68" s="12" t="n"/>
      <c r="G68" s="12" t="n"/>
      <c r="H68" s="12" t="n"/>
    </row>
    <row r="69">
      <c r="A69" s="10" t="inlineStr">
        <is>
          <t>Heat exchanger</t>
        </is>
      </c>
      <c r="B69" s="10" t="inlineStr">
        <is>
          <t>HX_02</t>
        </is>
      </c>
      <c r="C69" s="10" t="inlineStr">
        <is>
          <t>accepted_2</t>
        </is>
      </c>
      <c r="D69" s="10" t="inlineStr">
        <is>
          <t>Fitted parameter set</t>
        </is>
      </c>
      <c r="E69" s="12" t="n"/>
      <c r="F69" s="12" t="n"/>
      <c r="G69" s="12" t="n"/>
      <c r="H69" s="12" t="n"/>
    </row>
    <row r="70">
      <c r="A70" s="10" t="inlineStr">
        <is>
          <t>Heat exchanger</t>
        </is>
      </c>
      <c r="B70" s="10" t="inlineStr">
        <is>
          <t>HX_02</t>
        </is>
      </c>
      <c r="C70" s="10" t="inlineStr">
        <is>
          <t>accepted_2</t>
        </is>
      </c>
      <c r="D70" s="10" t="inlineStr">
        <is>
          <t>Selected Modelica source</t>
        </is>
      </c>
      <c r="E70" s="12" t="n"/>
      <c r="F70" s="12" t="n"/>
      <c r="G70" s="12" t="n"/>
      <c r="H70" s="12" t="n"/>
    </row>
    <row r="71">
      <c r="A71" s="10" t="inlineStr">
        <is>
          <t>Heat exchanger</t>
        </is>
      </c>
      <c r="B71" s="10" t="inlineStr">
        <is>
          <t>HX_02</t>
        </is>
      </c>
      <c r="C71" s="10" t="inlineStr">
        <is>
          <t>accepted_2</t>
        </is>
      </c>
      <c r="D71" s="10" t="inlineStr">
        <is>
          <t>Exported FMU</t>
        </is>
      </c>
      <c r="E71" s="12" t="n"/>
      <c r="F71" s="12" t="n"/>
      <c r="G71" s="12" t="n"/>
      <c r="H71" s="12" t="n"/>
    </row>
    <row r="72">
      <c r="A72" s="10" t="inlineStr">
        <is>
          <t>Heat exchanger</t>
        </is>
      </c>
      <c r="B72" s="10" t="inlineStr">
        <is>
          <t>HX_02</t>
        </is>
      </c>
      <c r="C72" s="10" t="inlineStr">
        <is>
          <t>accepted_2</t>
        </is>
      </c>
      <c r="D72" s="10" t="inlineStr">
        <is>
          <t>Test-window and full-period metrics</t>
        </is>
      </c>
      <c r="E72" s="12" t="n"/>
      <c r="F72" s="12" t="n"/>
      <c r="G72" s="12" t="n"/>
      <c r="H72" s="12" t="n"/>
    </row>
    <row r="73">
      <c r="A73" s="10" t="inlineStr">
        <is>
          <t>Heat exchanger</t>
        </is>
      </c>
      <c r="B73" s="10" t="inlineStr">
        <is>
          <t>HX_02</t>
        </is>
      </c>
      <c r="C73" s="10" t="inlineStr">
        <is>
          <t>accepted_2</t>
        </is>
      </c>
      <c r="D73" s="10" t="inlineStr">
        <is>
          <t>Time series / figure</t>
        </is>
      </c>
      <c r="E73" s="12" t="n"/>
      <c r="F73" s="12" t="n"/>
      <c r="G73" s="12" t="n"/>
      <c r="H73" s="12" t="n"/>
    </row>
    <row r="74">
      <c r="A74" s="10" t="inlineStr">
        <is>
          <t>Heat exchanger</t>
        </is>
      </c>
      <c r="B74" s="10" t="inlineStr">
        <is>
          <t>HX_02</t>
        </is>
      </c>
      <c r="C74" s="10" t="inlineStr">
        <is>
          <t>accepted_2</t>
        </is>
      </c>
      <c r="D74" s="10" t="inlineStr">
        <is>
          <t>Artefact manifest</t>
        </is>
      </c>
      <c r="E74" s="12" t="n"/>
      <c r="F74" s="12" t="n"/>
      <c r="G74" s="12" t="n"/>
      <c r="H74" s="12" t="n"/>
    </row>
    <row r="75">
      <c r="A75" s="10" t="inlineStr">
        <is>
          <t>Heat exchanger</t>
        </is>
      </c>
      <c r="B75" s="10" t="inlineStr">
        <is>
          <t>HX_03</t>
        </is>
      </c>
      <c r="C75" s="10" t="inlineStr">
        <is>
          <t>blocked</t>
        </is>
      </c>
      <c r="D75" s="10" t="inlineStr">
        <is>
          <t>QA / blocker manifest naming the missing evidence</t>
        </is>
      </c>
      <c r="E75" s="12" t="n"/>
      <c r="F75" s="12" t="n"/>
      <c r="G75" s="12" t="n"/>
      <c r="H75" s="12" t="n"/>
    </row>
    <row r="76">
      <c r="A76" s="10" t="inlineStr">
        <is>
          <t>Heat exchanger</t>
        </is>
      </c>
      <c r="B76" s="10" t="inlineStr">
        <is>
          <t>HX_03</t>
        </is>
      </c>
      <c r="C76" s="10" t="inlineStr">
        <is>
          <t>blocked</t>
        </is>
      </c>
      <c r="D76" s="10" t="inlineStr">
        <is>
          <t>Explicit statement that no validated model or FMU is claimed</t>
        </is>
      </c>
      <c r="E76" s="12" t="n"/>
      <c r="F76" s="12" t="n"/>
      <c r="G76" s="12" t="n"/>
      <c r="H76" s="1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6" customWidth="1" min="1" max="1"/>
    <col width="10" customWidth="1" min="2" max="2"/>
    <col width="12" customWidth="1" min="3" max="3"/>
    <col width="11" customWidth="1" min="4" max="4"/>
    <col width="10" customWidth="1" min="5" max="5"/>
    <col width="10" customWidth="1" min="6" max="6"/>
    <col width="18" customWidth="1" min="7" max="7"/>
    <col width="18" customWidth="1" min="8" max="8"/>
    <col width="18" customWidth="1" min="9" max="9"/>
    <col width="17" customWidth="1" min="10" max="10"/>
    <col width="16" customWidth="1" min="11" max="11"/>
    <col width="22" customWidth="1" min="12" max="12"/>
  </cols>
  <sheetData>
    <row r="1">
      <c r="A1" s="1" t="inlineStr">
        <is>
          <t>Summary — every cell is a formula over Log. Nothing here is an estimate.</t>
        </is>
      </c>
    </row>
    <row r="2">
      <c r="A2" s="8" t="inlineStr">
        <is>
          <t>Blank until Log is filled. Full-inventory hours use the current Site A counts; edit the accepted/blocked columns if the pipeline result changes.</t>
        </is>
      </c>
    </row>
    <row r="4" ht="30" customHeight="1">
      <c r="A4" s="3" t="inlineStr">
        <is>
          <t>Family</t>
        </is>
      </c>
      <c r="B4" s="3" t="inlineStr">
        <is>
          <t>Workflow</t>
        </is>
      </c>
      <c r="C4" s="3" t="inlineStr">
        <is>
          <t>Inventory n</t>
        </is>
      </c>
      <c r="D4" s="3" t="inlineStr">
        <is>
          <t>Accepted n</t>
        </is>
      </c>
      <c r="E4" s="3" t="inlineStr">
        <is>
          <t>Blocked n</t>
        </is>
      </c>
      <c r="F4" s="3" t="inlineStr">
        <is>
          <t>Setup h</t>
        </is>
      </c>
      <c r="G4" s="3" t="inlineStr">
        <is>
          <t>Accepted device 1 h</t>
        </is>
      </c>
      <c r="H4" s="3" t="inlineStr">
        <is>
          <t>Accepted device 2 h</t>
        </is>
      </c>
      <c r="I4" s="3" t="inlineStr">
        <is>
          <t>Accepted marginal h</t>
        </is>
      </c>
      <c r="J4" s="3" t="inlineStr">
        <is>
          <t>Blocked marginal h</t>
        </is>
      </c>
      <c r="K4" s="3" t="inlineStr">
        <is>
          <t>Full inventory h</t>
        </is>
      </c>
      <c r="L4" s="3" t="inlineStr">
        <is>
          <t>Learning effect (1 − d2/d1)</t>
        </is>
      </c>
    </row>
    <row r="5">
      <c r="A5" s="10" t="inlineStr">
        <is>
          <t>Chiller</t>
        </is>
      </c>
      <c r="B5" s="10" t="inlineStr">
        <is>
          <t>Manual</t>
        </is>
      </c>
      <c r="C5" s="10" t="n">
        <v>7</v>
      </c>
      <c r="D5" s="10" t="n">
        <v>3</v>
      </c>
      <c r="E5" s="10" t="n">
        <v>4</v>
      </c>
      <c r="F5" s="14">
        <f>IF(SUMIFS(Log!$N$5:$N$260,Log!$F$5:$F$260,"Chiller",Log!$E$5:$E$260,"Manual",Log!$G$5:$G$260,"FAMILY_SETUP")=0,"",ROUND(SUMIFS(Log!$N$5:$N$260,Log!$F$5:$F$260,"Chiller",Log!$E$5:$E$260,"Manual",Log!$G$5:$G$260,"FAMILY_SETUP")/60,3))</f>
        <v/>
      </c>
      <c r="G5" s="14">
        <f>IF(SUMIFS(Log!$N$5:$N$260,Log!$F$5:$F$260,"Chiller",Log!$E$5:$E$260,"Manual",Log!$G$5:$G$260,"CH_01")=0,"",ROUND(SUMIFS(Log!$N$5:$N$260,Log!$F$5:$F$260,"Chiller",Log!$E$5:$E$260,"Manual",Log!$G$5:$G$260,"CH_01")/60,3))</f>
        <v/>
      </c>
      <c r="H5" s="14">
        <f>IF(SUMIFS(Log!$N$5:$N$260,Log!$F$5:$F$260,"Chiller",Log!$E$5:$E$260,"Manual",Log!$G$5:$G$260,"CH_03")=0,"",ROUND(SUMIFS(Log!$N$5:$N$260,Log!$F$5:$F$260,"Chiller",Log!$E$5:$E$260,"Manual",Log!$G$5:$G$260,"CH_03")/60,3))</f>
        <v/>
      </c>
      <c r="I5" s="14">
        <f>IF(COUNT(G5:H5)=0,"",ROUND(AVERAGE(G5:H5),3))</f>
        <v/>
      </c>
      <c r="J5" s="14">
        <f>IF(SUMIFS(Log!$N$5:$N$260,Log!$F$5:$F$260,"Chiller",Log!$E$5:$E$260,"Manual",Log!$G$5:$G$260,"CH_05")=0,"",ROUND(SUMIFS(Log!$N$5:$N$260,Log!$F$5:$F$260,"Chiller",Log!$E$5:$E$260,"Manual",Log!$G$5:$G$260,"CH_05")/60,3))</f>
        <v/>
      </c>
      <c r="K5" s="14">
        <f>IF(I5="","",ROUND(N(F5)+D5*I5+E5*N(J5),2))</f>
        <v/>
      </c>
      <c r="L5" s="14">
        <f>IF(OR(G5=0,G5=""),"",ROUND(1-H5/G5,3))</f>
        <v/>
      </c>
    </row>
    <row r="6">
      <c r="A6" s="10" t="inlineStr">
        <is>
          <t>Chiller</t>
        </is>
      </c>
      <c r="B6" s="10" t="inlineStr">
        <is>
          <t>Auto</t>
        </is>
      </c>
      <c r="C6" s="10" t="n">
        <v>7</v>
      </c>
      <c r="D6" s="10" t="n">
        <v>3</v>
      </c>
      <c r="E6" s="10" t="n">
        <v>4</v>
      </c>
      <c r="F6" s="14">
        <f>IF(SUMIFS(Log!$N$5:$N$260,Log!$F$5:$F$260,"Chiller",Log!$E$5:$E$260,"Auto",Log!$G$5:$G$260,"FAMILY_SETUP")=0,"",ROUND(SUMIFS(Log!$N$5:$N$260,Log!$F$5:$F$260,"Chiller",Log!$E$5:$E$260,"Auto",Log!$G$5:$G$260,"FAMILY_SETUP")/60,3))</f>
        <v/>
      </c>
      <c r="G6" s="14">
        <f>IF(SUMIFS(Log!$N$5:$N$260,Log!$F$5:$F$260,"Chiller",Log!$E$5:$E$260,"Auto",Log!$G$5:$G$260,"CH_01")=0,"",ROUND(SUMIFS(Log!$N$5:$N$260,Log!$F$5:$F$260,"Chiller",Log!$E$5:$E$260,"Auto",Log!$G$5:$G$260,"CH_01")/60,3))</f>
        <v/>
      </c>
      <c r="H6" s="14">
        <f>IF(SUMIFS(Log!$N$5:$N$260,Log!$F$5:$F$260,"Chiller",Log!$E$5:$E$260,"Auto",Log!$G$5:$G$260,"CH_03")=0,"",ROUND(SUMIFS(Log!$N$5:$N$260,Log!$F$5:$F$260,"Chiller",Log!$E$5:$E$260,"Auto",Log!$G$5:$G$260,"CH_03")/60,3))</f>
        <v/>
      </c>
      <c r="I6" s="14">
        <f>IF(COUNT(G6:H6)=0,"",ROUND(AVERAGE(G6:H6),3))</f>
        <v/>
      </c>
      <c r="J6" s="14">
        <f>IF(SUMIFS(Log!$N$5:$N$260,Log!$F$5:$F$260,"Chiller",Log!$E$5:$E$260,"Auto",Log!$G$5:$G$260,"CH_05")=0,"",ROUND(SUMIFS(Log!$N$5:$N$260,Log!$F$5:$F$260,"Chiller",Log!$E$5:$E$260,"Auto",Log!$G$5:$G$260,"CH_05")/60,3))</f>
        <v/>
      </c>
      <c r="K6" s="14">
        <f>IF(I6="","",ROUND(N(F6)+D6*I6+E6*N(J6),2))</f>
        <v/>
      </c>
      <c r="L6" s="14">
        <f>IF(OR(G6=0,G6=""),"",ROUND(1-H6/G6,3))</f>
        <v/>
      </c>
    </row>
    <row r="7">
      <c r="A7" s="10" t="inlineStr">
        <is>
          <t>Cooling tower</t>
        </is>
      </c>
      <c r="B7" s="10" t="inlineStr">
        <is>
          <t>Manual</t>
        </is>
      </c>
      <c r="C7" s="10" t="n">
        <v>7</v>
      </c>
      <c r="D7" s="10" t="n">
        <v>4</v>
      </c>
      <c r="E7" s="10" t="n">
        <v>3</v>
      </c>
      <c r="F7" s="14">
        <f>IF(SUMIFS(Log!$N$5:$N$260,Log!$F$5:$F$260,"Cooling tower",Log!$E$5:$E$260,"Manual",Log!$G$5:$G$260,"FAMILY_SETUP")=0,"",ROUND(SUMIFS(Log!$N$5:$N$260,Log!$F$5:$F$260,"Cooling tower",Log!$E$5:$E$260,"Manual",Log!$G$5:$G$260,"FAMILY_SETUP")/60,3))</f>
        <v/>
      </c>
      <c r="G7" s="14">
        <f>IF(SUMIFS(Log!$N$5:$N$260,Log!$F$5:$F$260,"Cooling tower",Log!$E$5:$E$260,"Manual",Log!$G$5:$G$260,"CT_01")=0,"",ROUND(SUMIFS(Log!$N$5:$N$260,Log!$F$5:$F$260,"Cooling tower",Log!$E$5:$E$260,"Manual",Log!$G$5:$G$260,"CT_01")/60,3))</f>
        <v/>
      </c>
      <c r="H7" s="14">
        <f>IF(SUMIFS(Log!$N$5:$N$260,Log!$F$5:$F$260,"Cooling tower",Log!$E$5:$E$260,"Manual",Log!$G$5:$G$260,"CT_05")=0,"",ROUND(SUMIFS(Log!$N$5:$N$260,Log!$F$5:$F$260,"Cooling tower",Log!$E$5:$E$260,"Manual",Log!$G$5:$G$260,"CT_05")/60,3))</f>
        <v/>
      </c>
      <c r="I7" s="14">
        <f>IF(COUNT(G7:H7)=0,"",ROUND(AVERAGE(G7:H7),3))</f>
        <v/>
      </c>
      <c r="J7" s="14">
        <f>IF(SUMIFS(Log!$N$5:$N$260,Log!$F$5:$F$260,"Cooling tower",Log!$E$5:$E$260,"Manual",Log!$G$5:$G$260,"CT_02")=0,"",ROUND(SUMIFS(Log!$N$5:$N$260,Log!$F$5:$F$260,"Cooling tower",Log!$E$5:$E$260,"Manual",Log!$G$5:$G$260,"CT_02")/60,3))</f>
        <v/>
      </c>
      <c r="K7" s="14">
        <f>IF(I7="","",ROUND(N(F7)+D7*I7+E7*N(J7),2))</f>
        <v/>
      </c>
      <c r="L7" s="14">
        <f>IF(OR(G7=0,G7=""),"",ROUND(1-H7/G7,3))</f>
        <v/>
      </c>
    </row>
    <row r="8">
      <c r="A8" s="10" t="inlineStr">
        <is>
          <t>Cooling tower</t>
        </is>
      </c>
      <c r="B8" s="10" t="inlineStr">
        <is>
          <t>Auto</t>
        </is>
      </c>
      <c r="C8" s="10" t="n">
        <v>7</v>
      </c>
      <c r="D8" s="10" t="n">
        <v>4</v>
      </c>
      <c r="E8" s="10" t="n">
        <v>3</v>
      </c>
      <c r="F8" s="14">
        <f>IF(SUMIFS(Log!$N$5:$N$260,Log!$F$5:$F$260,"Cooling tower",Log!$E$5:$E$260,"Auto",Log!$G$5:$G$260,"FAMILY_SETUP")=0,"",ROUND(SUMIFS(Log!$N$5:$N$260,Log!$F$5:$F$260,"Cooling tower",Log!$E$5:$E$260,"Auto",Log!$G$5:$G$260,"FAMILY_SETUP")/60,3))</f>
        <v/>
      </c>
      <c r="G8" s="14">
        <f>IF(SUMIFS(Log!$N$5:$N$260,Log!$F$5:$F$260,"Cooling tower",Log!$E$5:$E$260,"Auto",Log!$G$5:$G$260,"CT_01")=0,"",ROUND(SUMIFS(Log!$N$5:$N$260,Log!$F$5:$F$260,"Cooling tower",Log!$E$5:$E$260,"Auto",Log!$G$5:$G$260,"CT_01")/60,3))</f>
        <v/>
      </c>
      <c r="H8" s="14">
        <f>IF(SUMIFS(Log!$N$5:$N$260,Log!$F$5:$F$260,"Cooling tower",Log!$E$5:$E$260,"Auto",Log!$G$5:$G$260,"CT_05")=0,"",ROUND(SUMIFS(Log!$N$5:$N$260,Log!$F$5:$F$260,"Cooling tower",Log!$E$5:$E$260,"Auto",Log!$G$5:$G$260,"CT_05")/60,3))</f>
        <v/>
      </c>
      <c r="I8" s="14">
        <f>IF(COUNT(G8:H8)=0,"",ROUND(AVERAGE(G8:H8),3))</f>
        <v/>
      </c>
      <c r="J8" s="14">
        <f>IF(SUMIFS(Log!$N$5:$N$260,Log!$F$5:$F$260,"Cooling tower",Log!$E$5:$E$260,"Auto",Log!$G$5:$G$260,"CT_02")=0,"",ROUND(SUMIFS(Log!$N$5:$N$260,Log!$F$5:$F$260,"Cooling tower",Log!$E$5:$E$260,"Auto",Log!$G$5:$G$260,"CT_02")/60,3))</f>
        <v/>
      </c>
      <c r="K8" s="14">
        <f>IF(I8="","",ROUND(N(F8)+D8*I8+E8*N(J8),2))</f>
        <v/>
      </c>
      <c r="L8" s="14">
        <f>IF(OR(G8=0,G8=""),"",ROUND(1-H8/G8,3))</f>
        <v/>
      </c>
    </row>
    <row r="9">
      <c r="A9" s="10" t="inlineStr">
        <is>
          <t>Pump</t>
        </is>
      </c>
      <c r="B9" s="10" t="inlineStr">
        <is>
          <t>Manual</t>
        </is>
      </c>
      <c r="C9" s="10" t="n">
        <v>17</v>
      </c>
      <c r="D9" s="10" t="n">
        <v>10</v>
      </c>
      <c r="E9" s="10" t="n">
        <v>7</v>
      </c>
      <c r="F9" s="14">
        <f>IF(SUMIFS(Log!$N$5:$N$260,Log!$F$5:$F$260,"Pump",Log!$E$5:$E$260,"Manual",Log!$G$5:$G$260,"FAMILY_SETUP")=0,"",ROUND(SUMIFS(Log!$N$5:$N$260,Log!$F$5:$F$260,"Pump",Log!$E$5:$E$260,"Manual",Log!$G$5:$G$260,"FAMILY_SETUP")/60,3))</f>
        <v/>
      </c>
      <c r="G9" s="14">
        <f>IF(SUMIFS(Log!$N$5:$N$260,Log!$F$5:$F$260,"Pump",Log!$E$5:$E$260,"Manual",Log!$G$5:$G$260,"CDWP_03")=0,"",ROUND(SUMIFS(Log!$N$5:$N$260,Log!$F$5:$F$260,"Pump",Log!$E$5:$E$260,"Manual",Log!$G$5:$G$260,"CDWP_03")/60,3))</f>
        <v/>
      </c>
      <c r="H9" s="14">
        <f>IF(SUMIFS(Log!$N$5:$N$260,Log!$F$5:$F$260,"Pump",Log!$E$5:$E$260,"Manual",Log!$G$5:$G$260,"CHWP_01")=0,"",ROUND(SUMIFS(Log!$N$5:$N$260,Log!$F$5:$F$260,"Pump",Log!$E$5:$E$260,"Manual",Log!$G$5:$G$260,"CHWP_01")/60,3))</f>
        <v/>
      </c>
      <c r="I9" s="14">
        <f>IF(COUNT(G9:H9)=0,"",ROUND(AVERAGE(G9:H9),3))</f>
        <v/>
      </c>
      <c r="J9" s="14">
        <f>IF(SUMIFS(Log!$N$5:$N$260,Log!$F$5:$F$260,"Pump",Log!$E$5:$E$260,"Manual",Log!$G$5:$G$260,"CDWP_02")=0,"",ROUND(SUMIFS(Log!$N$5:$N$260,Log!$F$5:$F$260,"Pump",Log!$E$5:$E$260,"Manual",Log!$G$5:$G$260,"CDWP_02")/60,3))</f>
        <v/>
      </c>
      <c r="K9" s="14">
        <f>IF(I9="","",ROUND(N(F9)+D9*I9+E9*N(J9),2))</f>
        <v/>
      </c>
      <c r="L9" s="14">
        <f>IF(OR(G9=0,G9=""),"",ROUND(1-H9/G9,3))</f>
        <v/>
      </c>
    </row>
    <row r="10">
      <c r="A10" s="10" t="inlineStr">
        <is>
          <t>Pump</t>
        </is>
      </c>
      <c r="B10" s="10" t="inlineStr">
        <is>
          <t>Auto</t>
        </is>
      </c>
      <c r="C10" s="10" t="n">
        <v>17</v>
      </c>
      <c r="D10" s="10" t="n">
        <v>10</v>
      </c>
      <c r="E10" s="10" t="n">
        <v>7</v>
      </c>
      <c r="F10" s="14">
        <f>IF(SUMIFS(Log!$N$5:$N$260,Log!$F$5:$F$260,"Pump",Log!$E$5:$E$260,"Auto",Log!$G$5:$G$260,"FAMILY_SETUP")=0,"",ROUND(SUMIFS(Log!$N$5:$N$260,Log!$F$5:$F$260,"Pump",Log!$E$5:$E$260,"Auto",Log!$G$5:$G$260,"FAMILY_SETUP")/60,3))</f>
        <v/>
      </c>
      <c r="G10" s="14">
        <f>IF(SUMIFS(Log!$N$5:$N$260,Log!$F$5:$F$260,"Pump",Log!$E$5:$E$260,"Auto",Log!$G$5:$G$260,"CDWP_03")=0,"",ROUND(SUMIFS(Log!$N$5:$N$260,Log!$F$5:$F$260,"Pump",Log!$E$5:$E$260,"Auto",Log!$G$5:$G$260,"CDWP_03")/60,3))</f>
        <v/>
      </c>
      <c r="H10" s="14">
        <f>IF(SUMIFS(Log!$N$5:$N$260,Log!$F$5:$F$260,"Pump",Log!$E$5:$E$260,"Auto",Log!$G$5:$G$260,"CHWP_01")=0,"",ROUND(SUMIFS(Log!$N$5:$N$260,Log!$F$5:$F$260,"Pump",Log!$E$5:$E$260,"Auto",Log!$G$5:$G$260,"CHWP_01")/60,3))</f>
        <v/>
      </c>
      <c r="I10" s="14">
        <f>IF(COUNT(G10:H10)=0,"",ROUND(AVERAGE(G10:H10),3))</f>
        <v/>
      </c>
      <c r="J10" s="14">
        <f>IF(SUMIFS(Log!$N$5:$N$260,Log!$F$5:$F$260,"Pump",Log!$E$5:$E$260,"Auto",Log!$G$5:$G$260,"CDWP_02")=0,"",ROUND(SUMIFS(Log!$N$5:$N$260,Log!$F$5:$F$260,"Pump",Log!$E$5:$E$260,"Auto",Log!$G$5:$G$260,"CDWP_02")/60,3))</f>
        <v/>
      </c>
      <c r="K10" s="14">
        <f>IF(I10="","",ROUND(N(F10)+D10*I10+E10*N(J10),2))</f>
        <v/>
      </c>
      <c r="L10" s="14">
        <f>IF(OR(G10=0,G10=""),"",ROUND(1-H10/G10,3))</f>
        <v/>
      </c>
    </row>
    <row r="11">
      <c r="A11" s="10" t="inlineStr">
        <is>
          <t>Heat exchanger</t>
        </is>
      </c>
      <c r="B11" s="10" t="inlineStr">
        <is>
          <t>Manual</t>
        </is>
      </c>
      <c r="C11" s="10" t="n">
        <v>3</v>
      </c>
      <c r="D11" s="10" t="n">
        <v>2</v>
      </c>
      <c r="E11" s="10" t="n">
        <v>1</v>
      </c>
      <c r="F11" s="14">
        <f>IF(SUMIFS(Log!$N$5:$N$260,Log!$F$5:$F$260,"Heat exchanger",Log!$E$5:$E$260,"Manual",Log!$G$5:$G$260,"FAMILY_SETUP")=0,"",ROUND(SUMIFS(Log!$N$5:$N$260,Log!$F$5:$F$260,"Heat exchanger",Log!$E$5:$E$260,"Manual",Log!$G$5:$G$260,"FAMILY_SETUP")/60,3))</f>
        <v/>
      </c>
      <c r="G11" s="14">
        <f>IF(SUMIFS(Log!$N$5:$N$260,Log!$F$5:$F$260,"Heat exchanger",Log!$E$5:$E$260,"Manual",Log!$G$5:$G$260,"HX_01")=0,"",ROUND(SUMIFS(Log!$N$5:$N$260,Log!$F$5:$F$260,"Heat exchanger",Log!$E$5:$E$260,"Manual",Log!$G$5:$G$260,"HX_01")/60,3))</f>
        <v/>
      </c>
      <c r="H11" s="14">
        <f>IF(SUMIFS(Log!$N$5:$N$260,Log!$F$5:$F$260,"Heat exchanger",Log!$E$5:$E$260,"Manual",Log!$G$5:$G$260,"HX_02")=0,"",ROUND(SUMIFS(Log!$N$5:$N$260,Log!$F$5:$F$260,"Heat exchanger",Log!$E$5:$E$260,"Manual",Log!$G$5:$G$260,"HX_02")/60,3))</f>
        <v/>
      </c>
      <c r="I11" s="14">
        <f>IF(COUNT(G11:H11)=0,"",ROUND(AVERAGE(G11:H11),3))</f>
        <v/>
      </c>
      <c r="J11" s="14">
        <f>IF(SUMIFS(Log!$N$5:$N$260,Log!$F$5:$F$260,"Heat exchanger",Log!$E$5:$E$260,"Manual",Log!$G$5:$G$260,"HX_03")=0,"",ROUND(SUMIFS(Log!$N$5:$N$260,Log!$F$5:$F$260,"Heat exchanger",Log!$E$5:$E$260,"Manual",Log!$G$5:$G$260,"HX_03")/60,3))</f>
        <v/>
      </c>
      <c r="K11" s="14">
        <f>IF(I11="","",ROUND(N(F11)+D11*I11+E11*N(J11),2))</f>
        <v/>
      </c>
      <c r="L11" s="14">
        <f>IF(OR(G11=0,G11=""),"",ROUND(1-H11/G11,3))</f>
        <v/>
      </c>
    </row>
    <row r="12">
      <c r="A12" s="10" t="inlineStr">
        <is>
          <t>Heat exchanger</t>
        </is>
      </c>
      <c r="B12" s="10" t="inlineStr">
        <is>
          <t>Auto</t>
        </is>
      </c>
      <c r="C12" s="10" t="n">
        <v>3</v>
      </c>
      <c r="D12" s="10" t="n">
        <v>2</v>
      </c>
      <c r="E12" s="10" t="n">
        <v>1</v>
      </c>
      <c r="F12" s="14">
        <f>IF(SUMIFS(Log!$N$5:$N$260,Log!$F$5:$F$260,"Heat exchanger",Log!$E$5:$E$260,"Auto",Log!$G$5:$G$260,"FAMILY_SETUP")=0,"",ROUND(SUMIFS(Log!$N$5:$N$260,Log!$F$5:$F$260,"Heat exchanger",Log!$E$5:$E$260,"Auto",Log!$G$5:$G$260,"FAMILY_SETUP")/60,3))</f>
        <v/>
      </c>
      <c r="G12" s="14">
        <f>IF(SUMIFS(Log!$N$5:$N$260,Log!$F$5:$F$260,"Heat exchanger",Log!$E$5:$E$260,"Auto",Log!$G$5:$G$260,"HX_01")=0,"",ROUND(SUMIFS(Log!$N$5:$N$260,Log!$F$5:$F$260,"Heat exchanger",Log!$E$5:$E$260,"Auto",Log!$G$5:$G$260,"HX_01")/60,3))</f>
        <v/>
      </c>
      <c r="H12" s="14">
        <f>IF(SUMIFS(Log!$N$5:$N$260,Log!$F$5:$F$260,"Heat exchanger",Log!$E$5:$E$260,"Auto",Log!$G$5:$G$260,"HX_02")=0,"",ROUND(SUMIFS(Log!$N$5:$N$260,Log!$F$5:$F$260,"Heat exchanger",Log!$E$5:$E$260,"Auto",Log!$G$5:$G$260,"HX_02")/60,3))</f>
        <v/>
      </c>
      <c r="I12" s="14">
        <f>IF(COUNT(G12:H12)=0,"",ROUND(AVERAGE(G12:H12),3))</f>
        <v/>
      </c>
      <c r="J12" s="14">
        <f>IF(SUMIFS(Log!$N$5:$N$260,Log!$F$5:$F$260,"Heat exchanger",Log!$E$5:$E$260,"Auto",Log!$G$5:$G$260,"HX_03")=0,"",ROUND(SUMIFS(Log!$N$5:$N$260,Log!$F$5:$F$260,"Heat exchanger",Log!$E$5:$E$260,"Auto",Log!$G$5:$G$260,"HX_03")/60,3))</f>
        <v/>
      </c>
      <c r="K12" s="14">
        <f>IF(I12="","",ROUND(N(F12)+D12*I12+E12*N(J12),2))</f>
        <v/>
      </c>
      <c r="L12" s="14">
        <f>IF(OR(G12=0,G12=""),"",ROUND(1-H12/G12,3))</f>
        <v/>
      </c>
    </row>
    <row r="14">
      <c r="A14" s="4" t="inlineStr">
        <is>
          <t>Site A totals</t>
        </is>
      </c>
    </row>
    <row r="15" ht="30" customHeight="1">
      <c r="A15" s="3" t="inlineStr">
        <is>
          <t>Quantity</t>
        </is>
      </c>
      <c r="B15" s="3" t="inlineStr">
        <is>
          <t>Manual h</t>
        </is>
      </c>
      <c r="C15" s="3" t="inlineStr">
        <is>
          <t>Auto human h</t>
        </is>
      </c>
      <c r="D15" s="3" t="inlineStr">
        <is>
          <t>Saved h</t>
        </is>
      </c>
      <c r="E15" s="3" t="inlineStr">
        <is>
          <t>Reduction</t>
        </is>
      </c>
    </row>
    <row r="16">
      <c r="A16" s="14" t="inlineStr">
        <is>
          <t>Full inventory (stages 1–8)</t>
        </is>
      </c>
      <c r="B16" s="14">
        <f>IF(COUNT(K5:K12)=0,"",ROUND(SUMIF(B5:B12,"Manual",K5:K12),2))</f>
        <v/>
      </c>
      <c r="C16" s="14">
        <f>IF(COUNT(K5:K12)=0,"",ROUND(SUMIF(B5:B12,"Auto",K5:K12),2))</f>
        <v/>
      </c>
      <c r="D16" s="14">
        <f>IF(B16="","",ROUND(B16-C16,2))</f>
        <v/>
      </c>
      <c r="E16" s="14">
        <f>IF(OR(B16="",B16=0),"",ROUND(1-C16/B16,4))</f>
        <v/>
      </c>
    </row>
    <row r="18" ht="42" customHeight="1">
      <c r="A18" s="9" t="inlineStr">
        <is>
          <t>To reproduce the published Figure 6b scope, filter Log to stages 1–6 and to the cooling tower, pump and heat exchanger families before reading these totals. Machine wall minutes (Log column Q) are reported separately and are never added to human hours.</t>
        </is>
      </c>
    </row>
  </sheetData>
  <mergeCells count="1">
    <mergeCell ref="A18:L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2026-08-04T14:04:51Z</dcterms:created>
  <dcterms:modified xmlns:dcterms="http://purl.org/dc/terms/" xmlns:xsi="http://www.w3.org/2001/XMLSchema-instance" xsi:type="dcterms:W3CDTF">2026-08-04T14:04:52Z</dcterms:modified>
</cp:coreProperties>
</file>